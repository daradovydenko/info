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koben\Downloads\"/>
    </mc:Choice>
  </mc:AlternateContent>
  <xr:revisionPtr revIDLastSave="0" documentId="13_ncr:1_{55319257-35BA-422C-BAB4-D56140378EAB}" xr6:coauthVersionLast="47" xr6:coauthVersionMax="47" xr10:uidLastSave="{00000000-0000-0000-0000-000000000000}"/>
  <bookViews>
    <workbookView xWindow="-108" yWindow="-108" windowWidth="23256" windowHeight="12456" firstSheet="5" activeTab="13" xr2:uid="{680900B7-A964-478A-9A80-D6D605E91FFD}"/>
  </bookViews>
  <sheets>
    <sheet name="Январь" sheetId="1" r:id="rId1"/>
    <sheet name="Фераль" sheetId="2" r:id="rId2"/>
    <sheet name="Март" sheetId="3" r:id="rId3"/>
    <sheet name="Апрель" sheetId="4" r:id="rId4"/>
    <sheet name="Май" sheetId="5" r:id="rId5"/>
    <sheet name="Июнь" sheetId="7" r:id="rId6"/>
    <sheet name="Июль" sheetId="8" r:id="rId7"/>
    <sheet name="Август" sheetId="9" r:id="rId8"/>
    <sheet name="Сентябрь" sheetId="10" r:id="rId9"/>
    <sheet name="Октябрь" sheetId="6" r:id="rId10"/>
    <sheet name="Ноябрь" sheetId="11" r:id="rId11"/>
    <sheet name="Декабрь" sheetId="12" r:id="rId12"/>
    <sheet name="Итоги" sheetId="13" r:id="rId13"/>
    <sheet name="Налоги" sheetId="15" r:id="rId14"/>
    <sheet name="3" sheetId="14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5" l="1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2" i="15"/>
  <c r="C32" i="15" s="1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2" i="13"/>
  <c r="D3" i="12"/>
  <c r="E3" i="12" s="1"/>
  <c r="M3" i="13" s="1"/>
  <c r="D4" i="12"/>
  <c r="E4" i="12" s="1"/>
  <c r="M4" i="13" s="1"/>
  <c r="D5" i="12"/>
  <c r="E5" i="12" s="1"/>
  <c r="M5" i="13" s="1"/>
  <c r="D6" i="12"/>
  <c r="E6" i="12" s="1"/>
  <c r="M6" i="13" s="1"/>
  <c r="D7" i="12"/>
  <c r="E7" i="12" s="1"/>
  <c r="M7" i="13" s="1"/>
  <c r="D8" i="12"/>
  <c r="E8" i="12" s="1"/>
  <c r="M8" i="13" s="1"/>
  <c r="D9" i="12"/>
  <c r="E9" i="12" s="1"/>
  <c r="M9" i="13" s="1"/>
  <c r="D10" i="12"/>
  <c r="E10" i="12" s="1"/>
  <c r="M10" i="13" s="1"/>
  <c r="D11" i="12"/>
  <c r="E11" i="12" s="1"/>
  <c r="M11" i="13" s="1"/>
  <c r="D12" i="12"/>
  <c r="E12" i="12" s="1"/>
  <c r="M12" i="13" s="1"/>
  <c r="D13" i="12"/>
  <c r="E13" i="12" s="1"/>
  <c r="M13" i="13" s="1"/>
  <c r="D14" i="12"/>
  <c r="E14" i="12" s="1"/>
  <c r="M14" i="13" s="1"/>
  <c r="D15" i="12"/>
  <c r="E15" i="12" s="1"/>
  <c r="M15" i="13" s="1"/>
  <c r="D16" i="12"/>
  <c r="E16" i="12" s="1"/>
  <c r="M16" i="13" s="1"/>
  <c r="D17" i="12"/>
  <c r="E17" i="12" s="1"/>
  <c r="M17" i="13" s="1"/>
  <c r="D18" i="12"/>
  <c r="E18" i="12" s="1"/>
  <c r="M18" i="13" s="1"/>
  <c r="D19" i="12"/>
  <c r="E19" i="12" s="1"/>
  <c r="M19" i="13" s="1"/>
  <c r="D20" i="12"/>
  <c r="E20" i="12" s="1"/>
  <c r="M20" i="13" s="1"/>
  <c r="D21" i="12"/>
  <c r="E21" i="12" s="1"/>
  <c r="M21" i="13" s="1"/>
  <c r="D22" i="12"/>
  <c r="E22" i="12" s="1"/>
  <c r="M22" i="13" s="1"/>
  <c r="D23" i="12"/>
  <c r="E23" i="12" s="1"/>
  <c r="M23" i="13" s="1"/>
  <c r="D24" i="12"/>
  <c r="E24" i="12" s="1"/>
  <c r="M24" i="13" s="1"/>
  <c r="D25" i="12"/>
  <c r="E25" i="12" s="1"/>
  <c r="M25" i="13" s="1"/>
  <c r="D26" i="12"/>
  <c r="E26" i="12" s="1"/>
  <c r="M26" i="13" s="1"/>
  <c r="D27" i="12"/>
  <c r="E27" i="12" s="1"/>
  <c r="M27" i="13" s="1"/>
  <c r="D28" i="12"/>
  <c r="E28" i="12" s="1"/>
  <c r="M28" i="13" s="1"/>
  <c r="D29" i="12"/>
  <c r="E29" i="12" s="1"/>
  <c r="M29" i="13" s="1"/>
  <c r="D30" i="12"/>
  <c r="E30" i="12" s="1"/>
  <c r="M30" i="13" s="1"/>
  <c r="D31" i="12"/>
  <c r="E31" i="12" s="1"/>
  <c r="M31" i="13" s="1"/>
  <c r="D2" i="12"/>
  <c r="E2" i="12" s="1"/>
  <c r="M2" i="13" s="1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2" i="12"/>
  <c r="D3" i="11"/>
  <c r="E3" i="11" s="1"/>
  <c r="L3" i="13" s="1"/>
  <c r="D4" i="11"/>
  <c r="E4" i="11" s="1"/>
  <c r="L4" i="13" s="1"/>
  <c r="D5" i="11"/>
  <c r="E5" i="11" s="1"/>
  <c r="L5" i="13" s="1"/>
  <c r="D6" i="11"/>
  <c r="E6" i="11" s="1"/>
  <c r="L6" i="13" s="1"/>
  <c r="D7" i="11"/>
  <c r="E7" i="11" s="1"/>
  <c r="L7" i="13" s="1"/>
  <c r="D8" i="11"/>
  <c r="E8" i="11" s="1"/>
  <c r="L8" i="13" s="1"/>
  <c r="D9" i="11"/>
  <c r="E9" i="11" s="1"/>
  <c r="L9" i="13" s="1"/>
  <c r="D10" i="11"/>
  <c r="E10" i="11" s="1"/>
  <c r="L10" i="13" s="1"/>
  <c r="D11" i="11"/>
  <c r="E11" i="11" s="1"/>
  <c r="L11" i="13" s="1"/>
  <c r="D12" i="11"/>
  <c r="E12" i="11" s="1"/>
  <c r="L12" i="13" s="1"/>
  <c r="D13" i="11"/>
  <c r="E13" i="11" s="1"/>
  <c r="L13" i="13" s="1"/>
  <c r="D14" i="11"/>
  <c r="E14" i="11" s="1"/>
  <c r="L14" i="13" s="1"/>
  <c r="D15" i="11"/>
  <c r="E15" i="11" s="1"/>
  <c r="L15" i="13" s="1"/>
  <c r="D16" i="11"/>
  <c r="E16" i="11" s="1"/>
  <c r="L16" i="13" s="1"/>
  <c r="D17" i="11"/>
  <c r="E17" i="11" s="1"/>
  <c r="L17" i="13" s="1"/>
  <c r="D18" i="11"/>
  <c r="E18" i="11" s="1"/>
  <c r="L18" i="13" s="1"/>
  <c r="D19" i="11"/>
  <c r="E19" i="11" s="1"/>
  <c r="L19" i="13" s="1"/>
  <c r="D20" i="11"/>
  <c r="E20" i="11" s="1"/>
  <c r="L20" i="13" s="1"/>
  <c r="D21" i="11"/>
  <c r="E21" i="11" s="1"/>
  <c r="L21" i="13" s="1"/>
  <c r="D22" i="11"/>
  <c r="E22" i="11" s="1"/>
  <c r="L22" i="13" s="1"/>
  <c r="D23" i="11"/>
  <c r="E23" i="11" s="1"/>
  <c r="L23" i="13" s="1"/>
  <c r="D24" i="11"/>
  <c r="E24" i="11" s="1"/>
  <c r="L24" i="13" s="1"/>
  <c r="D25" i="11"/>
  <c r="E25" i="11" s="1"/>
  <c r="L25" i="13" s="1"/>
  <c r="D26" i="11"/>
  <c r="E26" i="11" s="1"/>
  <c r="L26" i="13" s="1"/>
  <c r="D27" i="11"/>
  <c r="E27" i="11" s="1"/>
  <c r="L27" i="13" s="1"/>
  <c r="D28" i="11"/>
  <c r="E28" i="11" s="1"/>
  <c r="L28" i="13" s="1"/>
  <c r="D29" i="11"/>
  <c r="E29" i="11" s="1"/>
  <c r="L29" i="13" s="1"/>
  <c r="D30" i="11"/>
  <c r="E30" i="11" s="1"/>
  <c r="L30" i="13" s="1"/>
  <c r="D31" i="11"/>
  <c r="E31" i="11" s="1"/>
  <c r="L31" i="13" s="1"/>
  <c r="D2" i="11"/>
  <c r="E2" i="11" s="1"/>
  <c r="L2" i="13" s="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2" i="11"/>
  <c r="D3" i="6"/>
  <c r="E3" i="6" s="1"/>
  <c r="K3" i="13" s="1"/>
  <c r="D4" i="6"/>
  <c r="E4" i="6" s="1"/>
  <c r="K4" i="13" s="1"/>
  <c r="D5" i="6"/>
  <c r="E5" i="6" s="1"/>
  <c r="K5" i="13" s="1"/>
  <c r="D6" i="6"/>
  <c r="E6" i="6" s="1"/>
  <c r="K6" i="13" s="1"/>
  <c r="D7" i="6"/>
  <c r="E7" i="6" s="1"/>
  <c r="K7" i="13" s="1"/>
  <c r="D8" i="6"/>
  <c r="E8" i="6" s="1"/>
  <c r="K8" i="13" s="1"/>
  <c r="D9" i="6"/>
  <c r="E9" i="6" s="1"/>
  <c r="K9" i="13" s="1"/>
  <c r="D10" i="6"/>
  <c r="E10" i="6" s="1"/>
  <c r="K10" i="13" s="1"/>
  <c r="D11" i="6"/>
  <c r="E11" i="6" s="1"/>
  <c r="K11" i="13" s="1"/>
  <c r="D12" i="6"/>
  <c r="E12" i="6" s="1"/>
  <c r="K12" i="13" s="1"/>
  <c r="D13" i="6"/>
  <c r="E13" i="6" s="1"/>
  <c r="K13" i="13" s="1"/>
  <c r="D14" i="6"/>
  <c r="E14" i="6" s="1"/>
  <c r="K14" i="13" s="1"/>
  <c r="D15" i="6"/>
  <c r="E15" i="6" s="1"/>
  <c r="K15" i="13" s="1"/>
  <c r="D16" i="6"/>
  <c r="E16" i="6" s="1"/>
  <c r="K16" i="13" s="1"/>
  <c r="D17" i="6"/>
  <c r="E17" i="6" s="1"/>
  <c r="K17" i="13" s="1"/>
  <c r="D18" i="6"/>
  <c r="E18" i="6" s="1"/>
  <c r="K18" i="13" s="1"/>
  <c r="D19" i="6"/>
  <c r="E19" i="6" s="1"/>
  <c r="K19" i="13" s="1"/>
  <c r="D20" i="6"/>
  <c r="E20" i="6" s="1"/>
  <c r="K20" i="13" s="1"/>
  <c r="D21" i="6"/>
  <c r="E21" i="6" s="1"/>
  <c r="K21" i="13" s="1"/>
  <c r="D22" i="6"/>
  <c r="E22" i="6" s="1"/>
  <c r="K22" i="13" s="1"/>
  <c r="D23" i="6"/>
  <c r="E23" i="6" s="1"/>
  <c r="K23" i="13" s="1"/>
  <c r="D24" i="6"/>
  <c r="E24" i="6" s="1"/>
  <c r="K24" i="13" s="1"/>
  <c r="D25" i="6"/>
  <c r="E25" i="6" s="1"/>
  <c r="K25" i="13" s="1"/>
  <c r="D26" i="6"/>
  <c r="E26" i="6" s="1"/>
  <c r="K26" i="13" s="1"/>
  <c r="D27" i="6"/>
  <c r="E27" i="6" s="1"/>
  <c r="K27" i="13" s="1"/>
  <c r="D28" i="6"/>
  <c r="E28" i="6" s="1"/>
  <c r="K28" i="13" s="1"/>
  <c r="D29" i="6"/>
  <c r="E29" i="6" s="1"/>
  <c r="K29" i="13" s="1"/>
  <c r="D30" i="6"/>
  <c r="E30" i="6" s="1"/>
  <c r="K30" i="13" s="1"/>
  <c r="D31" i="6"/>
  <c r="E31" i="6" s="1"/>
  <c r="K31" i="13" s="1"/>
  <c r="D2" i="6"/>
  <c r="E2" i="6" s="1"/>
  <c r="K2" i="13" s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2" i="6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" i="10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" i="9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2" i="8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2" i="7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D2" i="10"/>
  <c r="C2" i="10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D2" i="9"/>
  <c r="C2" i="9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D3" i="5"/>
  <c r="E3" i="5" s="1"/>
  <c r="D4" i="5"/>
  <c r="E4" i="5" s="1"/>
  <c r="D5" i="5"/>
  <c r="E5" i="5" s="1"/>
  <c r="D6" i="5"/>
  <c r="E6" i="5" s="1"/>
  <c r="D7" i="5"/>
  <c r="E7" i="5" s="1"/>
  <c r="D8" i="5"/>
  <c r="E8" i="5" s="1"/>
  <c r="D9" i="5"/>
  <c r="E9" i="5" s="1"/>
  <c r="D10" i="5"/>
  <c r="E10" i="5" s="1"/>
  <c r="D11" i="5"/>
  <c r="E11" i="5" s="1"/>
  <c r="D12" i="5"/>
  <c r="E12" i="5" s="1"/>
  <c r="D13" i="5"/>
  <c r="E13" i="5" s="1"/>
  <c r="D14" i="5"/>
  <c r="E14" i="5" s="1"/>
  <c r="D15" i="5"/>
  <c r="E15" i="5" s="1"/>
  <c r="D16" i="5"/>
  <c r="E16" i="5" s="1"/>
  <c r="D17" i="5"/>
  <c r="E17" i="5" s="1"/>
  <c r="D18" i="5"/>
  <c r="E18" i="5" s="1"/>
  <c r="D19" i="5"/>
  <c r="E19" i="5" s="1"/>
  <c r="D20" i="5"/>
  <c r="E20" i="5" s="1"/>
  <c r="D21" i="5"/>
  <c r="E21" i="5" s="1"/>
  <c r="D22" i="5"/>
  <c r="E22" i="5" s="1"/>
  <c r="D23" i="5"/>
  <c r="E23" i="5" s="1"/>
  <c r="D24" i="5"/>
  <c r="E24" i="5" s="1"/>
  <c r="D25" i="5"/>
  <c r="E25" i="5" s="1"/>
  <c r="D26" i="5"/>
  <c r="E26" i="5" s="1"/>
  <c r="D27" i="5"/>
  <c r="E27" i="5" s="1"/>
  <c r="D28" i="5"/>
  <c r="E28" i="5" s="1"/>
  <c r="D29" i="5"/>
  <c r="E29" i="5" s="1"/>
  <c r="D30" i="5"/>
  <c r="E30" i="5" s="1"/>
  <c r="D31" i="5"/>
  <c r="E31" i="5" s="1"/>
  <c r="D2" i="5"/>
  <c r="E2" i="5" s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2" i="5"/>
  <c r="D3" i="4"/>
  <c r="E3" i="4" s="1"/>
  <c r="E3" i="13" s="1"/>
  <c r="D4" i="4"/>
  <c r="E4" i="4" s="1"/>
  <c r="E4" i="13" s="1"/>
  <c r="D5" i="4"/>
  <c r="E5" i="4" s="1"/>
  <c r="E5" i="13" s="1"/>
  <c r="D6" i="4"/>
  <c r="E6" i="4" s="1"/>
  <c r="E6" i="13" s="1"/>
  <c r="D7" i="4"/>
  <c r="E7" i="4" s="1"/>
  <c r="E7" i="13" s="1"/>
  <c r="D8" i="4"/>
  <c r="E8" i="4" s="1"/>
  <c r="E8" i="13" s="1"/>
  <c r="D9" i="4"/>
  <c r="E9" i="4" s="1"/>
  <c r="E9" i="13" s="1"/>
  <c r="D10" i="4"/>
  <c r="E10" i="4" s="1"/>
  <c r="E10" i="13" s="1"/>
  <c r="D11" i="4"/>
  <c r="E11" i="4" s="1"/>
  <c r="E11" i="13" s="1"/>
  <c r="D12" i="4"/>
  <c r="E12" i="4" s="1"/>
  <c r="E12" i="13" s="1"/>
  <c r="D13" i="4"/>
  <c r="E13" i="4" s="1"/>
  <c r="E13" i="13" s="1"/>
  <c r="D14" i="4"/>
  <c r="E14" i="4" s="1"/>
  <c r="E14" i="13" s="1"/>
  <c r="D15" i="4"/>
  <c r="E15" i="4" s="1"/>
  <c r="E15" i="13" s="1"/>
  <c r="D16" i="4"/>
  <c r="E16" i="4" s="1"/>
  <c r="E16" i="13" s="1"/>
  <c r="D17" i="4"/>
  <c r="E17" i="4" s="1"/>
  <c r="E17" i="13" s="1"/>
  <c r="D18" i="4"/>
  <c r="E18" i="4" s="1"/>
  <c r="E18" i="13" s="1"/>
  <c r="D19" i="4"/>
  <c r="E19" i="4" s="1"/>
  <c r="E19" i="13" s="1"/>
  <c r="D20" i="4"/>
  <c r="E20" i="4" s="1"/>
  <c r="E20" i="13" s="1"/>
  <c r="D21" i="4"/>
  <c r="E21" i="4" s="1"/>
  <c r="E21" i="13" s="1"/>
  <c r="D22" i="4"/>
  <c r="E22" i="4" s="1"/>
  <c r="E22" i="13" s="1"/>
  <c r="D23" i="4"/>
  <c r="E23" i="4" s="1"/>
  <c r="E23" i="13" s="1"/>
  <c r="D24" i="4"/>
  <c r="E24" i="4" s="1"/>
  <c r="E24" i="13" s="1"/>
  <c r="D25" i="4"/>
  <c r="E25" i="4" s="1"/>
  <c r="E25" i="13" s="1"/>
  <c r="D26" i="4"/>
  <c r="E26" i="4" s="1"/>
  <c r="E26" i="13" s="1"/>
  <c r="D27" i="4"/>
  <c r="E27" i="4" s="1"/>
  <c r="E27" i="13" s="1"/>
  <c r="D28" i="4"/>
  <c r="E28" i="4" s="1"/>
  <c r="E28" i="13" s="1"/>
  <c r="D29" i="4"/>
  <c r="E29" i="4" s="1"/>
  <c r="E29" i="13" s="1"/>
  <c r="D30" i="4"/>
  <c r="E30" i="4" s="1"/>
  <c r="E30" i="13" s="1"/>
  <c r="D31" i="4"/>
  <c r="E31" i="4" s="1"/>
  <c r="E31" i="13" s="1"/>
  <c r="D2" i="4"/>
  <c r="E2" i="4" s="1"/>
  <c r="E2" i="13" s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2" i="4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D12" i="3"/>
  <c r="E12" i="3" s="1"/>
  <c r="D13" i="3"/>
  <c r="E13" i="3" s="1"/>
  <c r="D14" i="3"/>
  <c r="E14" i="3" s="1"/>
  <c r="D15" i="3"/>
  <c r="E15" i="3" s="1"/>
  <c r="D16" i="3"/>
  <c r="E16" i="3" s="1"/>
  <c r="D17" i="3"/>
  <c r="E17" i="3" s="1"/>
  <c r="D18" i="3"/>
  <c r="E18" i="3" s="1"/>
  <c r="D19" i="3"/>
  <c r="E19" i="3" s="1"/>
  <c r="D20" i="3"/>
  <c r="E20" i="3" s="1"/>
  <c r="D21" i="3"/>
  <c r="E21" i="3" s="1"/>
  <c r="D22" i="3"/>
  <c r="E22" i="3" s="1"/>
  <c r="D23" i="3"/>
  <c r="E23" i="3" s="1"/>
  <c r="D24" i="3"/>
  <c r="E24" i="3" s="1"/>
  <c r="D25" i="3"/>
  <c r="E25" i="3" s="1"/>
  <c r="D26" i="3"/>
  <c r="E26" i="3" s="1"/>
  <c r="D27" i="3"/>
  <c r="E27" i="3" s="1"/>
  <c r="D28" i="3"/>
  <c r="E28" i="3" s="1"/>
  <c r="D29" i="3"/>
  <c r="E29" i="3" s="1"/>
  <c r="D30" i="3"/>
  <c r="E30" i="3" s="1"/>
  <c r="D31" i="3"/>
  <c r="E31" i="3" s="1"/>
  <c r="D32" i="3"/>
  <c r="D2" i="3"/>
  <c r="E2" i="3" s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2" i="3"/>
  <c r="D2" i="1"/>
  <c r="E2" i="1" s="1"/>
  <c r="B2" i="13" s="1"/>
  <c r="D2" i="2"/>
  <c r="C2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" i="2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" i="1"/>
  <c r="B31" i="1" a="1"/>
  <c r="B20" i="1" a="1"/>
  <c r="B21" i="1" a="1"/>
  <c r="B22" i="1" a="1"/>
  <c r="B23" i="1" a="1"/>
  <c r="B24" i="1" a="1"/>
  <c r="B25" i="1" a="1"/>
  <c r="B26" i="1" a="1"/>
  <c r="B27" i="1" a="1"/>
  <c r="B28" i="1" a="1"/>
  <c r="B29" i="1" a="1"/>
  <c r="B30" i="1" a="1"/>
  <c r="B3" i="1" a="1"/>
  <c r="B4" i="1" a="1"/>
  <c r="B5" i="1" a="1"/>
  <c r="B6" i="1" a="1"/>
  <c r="B7" i="1" a="1"/>
  <c r="B8" i="1" a="1"/>
  <c r="B9" i="1" a="1"/>
  <c r="B10" i="1" a="1"/>
  <c r="B11" i="1" a="1"/>
  <c r="B12" i="1" a="1"/>
  <c r="B13" i="1" a="1"/>
  <c r="B14" i="1" a="1"/>
  <c r="B15" i="1" a="1"/>
  <c r="B16" i="1" a="1"/>
  <c r="B17" i="1" a="1"/>
  <c r="B18" i="1" a="1"/>
  <c r="B19" i="1" a="1"/>
  <c r="E2" i="9" l="1"/>
  <c r="I2" i="13" s="1"/>
  <c r="D3" i="13"/>
  <c r="F3" i="13"/>
  <c r="D4" i="13"/>
  <c r="F4" i="13"/>
  <c r="D5" i="13"/>
  <c r="F5" i="13"/>
  <c r="D6" i="13"/>
  <c r="F6" i="13"/>
  <c r="D7" i="13"/>
  <c r="F7" i="13"/>
  <c r="D8" i="13"/>
  <c r="F8" i="13"/>
  <c r="D9" i="13"/>
  <c r="F9" i="13"/>
  <c r="D10" i="13"/>
  <c r="F10" i="13"/>
  <c r="D11" i="13"/>
  <c r="F11" i="13"/>
  <c r="D12" i="13"/>
  <c r="F12" i="13"/>
  <c r="D13" i="13"/>
  <c r="F13" i="13"/>
  <c r="D14" i="13"/>
  <c r="F14" i="13"/>
  <c r="D15" i="13"/>
  <c r="F15" i="13"/>
  <c r="D16" i="13"/>
  <c r="F16" i="13"/>
  <c r="D17" i="13"/>
  <c r="F17" i="13"/>
  <c r="D18" i="13"/>
  <c r="F18" i="13"/>
  <c r="D19" i="13"/>
  <c r="F19" i="13"/>
  <c r="D20" i="13"/>
  <c r="F20" i="13"/>
  <c r="D21" i="13"/>
  <c r="F21" i="13"/>
  <c r="D22" i="13"/>
  <c r="F22" i="13"/>
  <c r="D23" i="13"/>
  <c r="F23" i="13"/>
  <c r="D24" i="13"/>
  <c r="F24" i="13"/>
  <c r="D25" i="13"/>
  <c r="F25" i="13"/>
  <c r="D26" i="13"/>
  <c r="F26" i="13"/>
  <c r="D27" i="13"/>
  <c r="F27" i="13"/>
  <c r="D28" i="13"/>
  <c r="F28" i="13"/>
  <c r="D29" i="13"/>
  <c r="F29" i="13"/>
  <c r="D30" i="13"/>
  <c r="F30" i="13"/>
  <c r="D31" i="13"/>
  <c r="F31" i="13"/>
  <c r="D2" i="13"/>
  <c r="F2" i="13"/>
  <c r="E2" i="10"/>
  <c r="J2" i="13" s="1"/>
  <c r="E31" i="10"/>
  <c r="J31" i="13" s="1"/>
  <c r="E30" i="10"/>
  <c r="J30" i="13" s="1"/>
  <c r="E27" i="10"/>
  <c r="J27" i="13" s="1"/>
  <c r="E4" i="10"/>
  <c r="J4" i="13" s="1"/>
  <c r="E26" i="10"/>
  <c r="J26" i="13" s="1"/>
  <c r="E25" i="10"/>
  <c r="J25" i="13" s="1"/>
  <c r="E24" i="10"/>
  <c r="J24" i="13" s="1"/>
  <c r="E23" i="10"/>
  <c r="J23" i="13" s="1"/>
  <c r="E22" i="10"/>
  <c r="J22" i="13" s="1"/>
  <c r="E21" i="10"/>
  <c r="J21" i="13" s="1"/>
  <c r="E20" i="10"/>
  <c r="J20" i="13" s="1"/>
  <c r="E18" i="10"/>
  <c r="J18" i="13" s="1"/>
  <c r="E15" i="10"/>
  <c r="J15" i="13" s="1"/>
  <c r="E14" i="10"/>
  <c r="J14" i="13" s="1"/>
  <c r="E13" i="10"/>
  <c r="J13" i="13" s="1"/>
  <c r="E12" i="10"/>
  <c r="J12" i="13" s="1"/>
  <c r="E11" i="10"/>
  <c r="J11" i="13" s="1"/>
  <c r="E10" i="10"/>
  <c r="J10" i="13" s="1"/>
  <c r="E9" i="10"/>
  <c r="J9" i="13" s="1"/>
  <c r="E7" i="10"/>
  <c r="J7" i="13" s="1"/>
  <c r="E5" i="10"/>
  <c r="J5" i="13" s="1"/>
  <c r="E3" i="10"/>
  <c r="J3" i="13" s="1"/>
  <c r="E30" i="9"/>
  <c r="I30" i="13" s="1"/>
  <c r="E28" i="9"/>
  <c r="I28" i="13" s="1"/>
  <c r="E26" i="9"/>
  <c r="I26" i="13" s="1"/>
  <c r="E24" i="9"/>
  <c r="I24" i="13" s="1"/>
  <c r="E23" i="9"/>
  <c r="I23" i="13" s="1"/>
  <c r="E22" i="9"/>
  <c r="I22" i="13" s="1"/>
  <c r="E21" i="9"/>
  <c r="I21" i="13" s="1"/>
  <c r="E18" i="9"/>
  <c r="I18" i="13" s="1"/>
  <c r="E17" i="10"/>
  <c r="J17" i="13" s="1"/>
  <c r="E4" i="9"/>
  <c r="I4" i="13" s="1"/>
  <c r="E8" i="10"/>
  <c r="J8" i="13" s="1"/>
  <c r="E16" i="9"/>
  <c r="I16" i="13" s="1"/>
  <c r="E7" i="9"/>
  <c r="I7" i="13" s="1"/>
  <c r="E6" i="9"/>
  <c r="I6" i="13" s="1"/>
  <c r="E31" i="9"/>
  <c r="I31" i="13" s="1"/>
  <c r="E13" i="9"/>
  <c r="I13" i="13" s="1"/>
  <c r="E12" i="9"/>
  <c r="I12" i="13" s="1"/>
  <c r="E9" i="9"/>
  <c r="I9" i="13" s="1"/>
  <c r="E8" i="9"/>
  <c r="I8" i="13" s="1"/>
  <c r="E24" i="8"/>
  <c r="H24" i="13" s="1"/>
  <c r="E16" i="8"/>
  <c r="H16" i="13" s="1"/>
  <c r="E15" i="8"/>
  <c r="H15" i="13" s="1"/>
  <c r="E14" i="8"/>
  <c r="H14" i="13" s="1"/>
  <c r="E13" i="8"/>
  <c r="H13" i="13" s="1"/>
  <c r="E12" i="8"/>
  <c r="H12" i="13" s="1"/>
  <c r="E11" i="8"/>
  <c r="H11" i="13" s="1"/>
  <c r="E10" i="8"/>
  <c r="H10" i="13" s="1"/>
  <c r="E6" i="8"/>
  <c r="H6" i="13" s="1"/>
  <c r="E5" i="8"/>
  <c r="H5" i="13" s="1"/>
  <c r="E29" i="8"/>
  <c r="H29" i="13" s="1"/>
  <c r="E26" i="8"/>
  <c r="H26" i="13" s="1"/>
  <c r="E25" i="8"/>
  <c r="H25" i="13" s="1"/>
  <c r="E28" i="10"/>
  <c r="J28" i="13" s="1"/>
  <c r="E16" i="10"/>
  <c r="J16" i="13" s="1"/>
  <c r="E27" i="9"/>
  <c r="I27" i="13" s="1"/>
  <c r="E7" i="7"/>
  <c r="G7" i="13" s="1"/>
  <c r="E8" i="7"/>
  <c r="G8" i="13" s="1"/>
  <c r="E29" i="10"/>
  <c r="J29" i="13" s="1"/>
  <c r="E6" i="10"/>
  <c r="J6" i="13" s="1"/>
  <c r="E11" i="9"/>
  <c r="I11" i="13" s="1"/>
  <c r="E10" i="9"/>
  <c r="I10" i="13" s="1"/>
  <c r="E10" i="7"/>
  <c r="G10" i="13" s="1"/>
  <c r="E31" i="8"/>
  <c r="H31" i="13" s="1"/>
  <c r="E22" i="7"/>
  <c r="G22" i="13" s="1"/>
  <c r="E21" i="7"/>
  <c r="G21" i="13" s="1"/>
  <c r="E19" i="7"/>
  <c r="G19" i="13" s="1"/>
  <c r="E16" i="7"/>
  <c r="G16" i="13" s="1"/>
  <c r="E14" i="7"/>
  <c r="G14" i="13" s="1"/>
  <c r="E13" i="7"/>
  <c r="G13" i="13" s="1"/>
  <c r="E12" i="7"/>
  <c r="G12" i="13" s="1"/>
  <c r="E2" i="7"/>
  <c r="G2" i="13" s="1"/>
  <c r="E19" i="10"/>
  <c r="J19" i="13" s="1"/>
  <c r="E30" i="7"/>
  <c r="G30" i="13" s="1"/>
  <c r="E3" i="9"/>
  <c r="I3" i="13" s="1"/>
  <c r="E25" i="9"/>
  <c r="I25" i="13" s="1"/>
  <c r="E2" i="8"/>
  <c r="H2" i="13" s="1"/>
  <c r="E31" i="7"/>
  <c r="G31" i="13" s="1"/>
  <c r="E17" i="8"/>
  <c r="H17" i="13" s="1"/>
  <c r="E20" i="7"/>
  <c r="G20" i="13" s="1"/>
  <c r="E29" i="9"/>
  <c r="I29" i="13" s="1"/>
  <c r="E20" i="9"/>
  <c r="I20" i="13" s="1"/>
  <c r="E15" i="9"/>
  <c r="I15" i="13" s="1"/>
  <c r="E18" i="8"/>
  <c r="H18" i="13" s="1"/>
  <c r="E27" i="8"/>
  <c r="H27" i="13" s="1"/>
  <c r="E23" i="8"/>
  <c r="H23" i="13" s="1"/>
  <c r="E22" i="8"/>
  <c r="H22" i="13" s="1"/>
  <c r="E19" i="8"/>
  <c r="H19" i="13" s="1"/>
  <c r="E15" i="7"/>
  <c r="G15" i="13" s="1"/>
  <c r="E7" i="8"/>
  <c r="H7" i="13" s="1"/>
  <c r="E4" i="7"/>
  <c r="G4" i="13" s="1"/>
  <c r="E17" i="9"/>
  <c r="I17" i="13" s="1"/>
  <c r="E3" i="8"/>
  <c r="H3" i="13" s="1"/>
  <c r="E8" i="8"/>
  <c r="H8" i="13" s="1"/>
  <c r="E9" i="8"/>
  <c r="H9" i="13" s="1"/>
  <c r="E26" i="7"/>
  <c r="G26" i="13" s="1"/>
  <c r="E25" i="7"/>
  <c r="G25" i="13" s="1"/>
  <c r="E4" i="8"/>
  <c r="H4" i="13" s="1"/>
  <c r="E5" i="9"/>
  <c r="I5" i="13" s="1"/>
  <c r="E30" i="8"/>
  <c r="H30" i="13" s="1"/>
  <c r="E19" i="9"/>
  <c r="I19" i="13" s="1"/>
  <c r="E28" i="8"/>
  <c r="H28" i="13" s="1"/>
  <c r="E21" i="8"/>
  <c r="H21" i="13" s="1"/>
  <c r="E14" i="9"/>
  <c r="I14" i="13" s="1"/>
  <c r="E20" i="8"/>
  <c r="H20" i="13" s="1"/>
  <c r="E29" i="7"/>
  <c r="G29" i="13" s="1"/>
  <c r="E28" i="7"/>
  <c r="G28" i="13" s="1"/>
  <c r="E3" i="7"/>
  <c r="G3" i="13" s="1"/>
  <c r="E17" i="7"/>
  <c r="G17" i="13" s="1"/>
  <c r="E9" i="7"/>
  <c r="G9" i="13" s="1"/>
  <c r="E24" i="7"/>
  <c r="G24" i="13" s="1"/>
  <c r="E27" i="7"/>
  <c r="G27" i="13" s="1"/>
  <c r="E23" i="7"/>
  <c r="G23" i="13" s="1"/>
  <c r="E18" i="7"/>
  <c r="G18" i="13" s="1"/>
  <c r="E11" i="7"/>
  <c r="G11" i="13" s="1"/>
  <c r="E6" i="7"/>
  <c r="G6" i="13" s="1"/>
  <c r="E5" i="7"/>
  <c r="G5" i="13" s="1"/>
  <c r="N2" i="13" l="1"/>
  <c r="B31" i="1"/>
  <c r="C31" i="1" s="1"/>
  <c r="E31" i="1" s="1"/>
  <c r="B31" i="13" s="1"/>
  <c r="N31" i="13" s="1"/>
  <c r="B30" i="1"/>
  <c r="C30" i="1" s="1"/>
  <c r="E30" i="1" s="1"/>
  <c r="B30" i="13" s="1"/>
  <c r="N30" i="13" s="1"/>
  <c r="B29" i="1"/>
  <c r="C29" i="1" s="1"/>
  <c r="E29" i="1" s="1"/>
  <c r="B29" i="13" s="1"/>
  <c r="N29" i="13" s="1"/>
  <c r="B28" i="1"/>
  <c r="C28" i="1" s="1"/>
  <c r="E28" i="1" s="1"/>
  <c r="B28" i="13" s="1"/>
  <c r="N28" i="13" s="1"/>
  <c r="B27" i="1"/>
  <c r="C27" i="1" s="1"/>
  <c r="E27" i="1" s="1"/>
  <c r="B27" i="13" s="1"/>
  <c r="N27" i="13" s="1"/>
  <c r="B26" i="1"/>
  <c r="C26" i="1" s="1"/>
  <c r="E26" i="1" s="1"/>
  <c r="B26" i="13" s="1"/>
  <c r="N26" i="13" s="1"/>
  <c r="B25" i="1"/>
  <c r="C25" i="1" s="1"/>
  <c r="E25" i="1" s="1"/>
  <c r="B25" i="13" s="1"/>
  <c r="N25" i="13" s="1"/>
  <c r="B24" i="1"/>
  <c r="C24" i="1" s="1"/>
  <c r="E24" i="1" s="1"/>
  <c r="B24" i="13" s="1"/>
  <c r="N24" i="13" s="1"/>
  <c r="B23" i="1"/>
  <c r="C23" i="1" s="1"/>
  <c r="E23" i="1" s="1"/>
  <c r="B23" i="13" s="1"/>
  <c r="N23" i="13" s="1"/>
  <c r="B22" i="1"/>
  <c r="C22" i="1" s="1"/>
  <c r="E22" i="1" s="1"/>
  <c r="B22" i="13" s="1"/>
  <c r="N22" i="13" s="1"/>
  <c r="B21" i="1"/>
  <c r="C21" i="1" s="1"/>
  <c r="E21" i="1" s="1"/>
  <c r="B21" i="13" s="1"/>
  <c r="N21" i="13" s="1"/>
  <c r="B20" i="1"/>
  <c r="C20" i="1" s="1"/>
  <c r="E20" i="1" s="1"/>
  <c r="B20" i="13" s="1"/>
  <c r="N20" i="13" s="1"/>
  <c r="B19" i="1"/>
  <c r="C19" i="1" s="1"/>
  <c r="E19" i="1" s="1"/>
  <c r="B19" i="13" s="1"/>
  <c r="N19" i="13" s="1"/>
  <c r="B18" i="1"/>
  <c r="C18" i="1" s="1"/>
  <c r="E18" i="1" s="1"/>
  <c r="B18" i="13" s="1"/>
  <c r="N18" i="13" s="1"/>
  <c r="B17" i="1"/>
  <c r="C17" i="1" s="1"/>
  <c r="E17" i="1" s="1"/>
  <c r="B17" i="13" s="1"/>
  <c r="N17" i="13" s="1"/>
  <c r="B16" i="1"/>
  <c r="C16" i="1" s="1"/>
  <c r="E16" i="1" s="1"/>
  <c r="B16" i="13" s="1"/>
  <c r="N16" i="13" s="1"/>
  <c r="B15" i="1"/>
  <c r="C15" i="1" s="1"/>
  <c r="E15" i="1" s="1"/>
  <c r="B15" i="13" s="1"/>
  <c r="N15" i="13" s="1"/>
  <c r="B14" i="1"/>
  <c r="C14" i="1" s="1"/>
  <c r="E14" i="1" s="1"/>
  <c r="B14" i="13" s="1"/>
  <c r="N14" i="13" s="1"/>
  <c r="B13" i="1"/>
  <c r="C13" i="1" s="1"/>
  <c r="E13" i="1" s="1"/>
  <c r="B13" i="13" s="1"/>
  <c r="N13" i="13" s="1"/>
  <c r="B12" i="1"/>
  <c r="C12" i="1" s="1"/>
  <c r="E12" i="1" s="1"/>
  <c r="B12" i="13" s="1"/>
  <c r="N12" i="13" s="1"/>
  <c r="B11" i="1"/>
  <c r="C11" i="1" s="1"/>
  <c r="E11" i="1" s="1"/>
  <c r="B11" i="13" s="1"/>
  <c r="N11" i="13" s="1"/>
  <c r="B10" i="1"/>
  <c r="C10" i="1" s="1"/>
  <c r="E10" i="1" s="1"/>
  <c r="B10" i="13" s="1"/>
  <c r="N10" i="13" s="1"/>
  <c r="B9" i="1"/>
  <c r="C9" i="1" s="1"/>
  <c r="E9" i="1" s="1"/>
  <c r="B9" i="13" s="1"/>
  <c r="N9" i="13" s="1"/>
  <c r="B8" i="1"/>
  <c r="C8" i="1" s="1"/>
  <c r="E8" i="1" s="1"/>
  <c r="B8" i="13" s="1"/>
  <c r="N8" i="13" s="1"/>
  <c r="B7" i="1"/>
  <c r="C7" i="1" s="1"/>
  <c r="E7" i="1" s="1"/>
  <c r="B7" i="13" s="1"/>
  <c r="N7" i="13" s="1"/>
  <c r="B6" i="1"/>
  <c r="C6" i="1" s="1"/>
  <c r="E6" i="1" s="1"/>
  <c r="B6" i="13" s="1"/>
  <c r="N6" i="13" s="1"/>
  <c r="B5" i="1"/>
  <c r="C5" i="1" s="1"/>
  <c r="E5" i="1" s="1"/>
  <c r="B5" i="13" s="1"/>
  <c r="N5" i="13" s="1"/>
  <c r="B4" i="1"/>
  <c r="C4" i="1" s="1"/>
  <c r="E4" i="1" s="1"/>
  <c r="B4" i="13" s="1"/>
  <c r="N4" i="13" s="1"/>
  <c r="B3" i="1"/>
  <c r="C3" i="1" s="1"/>
  <c r="E3" i="1" s="1"/>
  <c r="B3" i="13" s="1"/>
  <c r="N3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<sst xmlns="http://schemas.openxmlformats.org/spreadsheetml/2006/main" count="913" uniqueCount="57">
  <si>
    <t>ФИО</t>
  </si>
  <si>
    <t>Должность</t>
  </si>
  <si>
    <t>Оклад</t>
  </si>
  <si>
    <t>Премия</t>
  </si>
  <si>
    <t>Заработна плата</t>
  </si>
  <si>
    <t>Директор</t>
  </si>
  <si>
    <t>Админимстратор</t>
  </si>
  <si>
    <t>Бариста</t>
  </si>
  <si>
    <t>Уборщик</t>
  </si>
  <si>
    <t>Курьер</t>
  </si>
  <si>
    <t>Аливоков Владимир Юрьевич</t>
  </si>
  <si>
    <t>Дубинин Фёдор Петрович</t>
  </si>
  <si>
    <t>Левин Тимур Александрович</t>
  </si>
  <si>
    <t>Орлов Дмитрий Андреевич</t>
  </si>
  <si>
    <t>Горбачев Григорий Даниилович</t>
  </si>
  <si>
    <t>Титов Роман Данилович</t>
  </si>
  <si>
    <t>Тарасова Ксения Данииловна</t>
  </si>
  <si>
    <t>Журавлева Кира Максимовна</t>
  </si>
  <si>
    <t>Потапова Адель Тимуровна</t>
  </si>
  <si>
    <t>Борисова Алиса Егоровна</t>
  </si>
  <si>
    <t>Никитин Евгений Иванович</t>
  </si>
  <si>
    <t>Сидоров Александр Михайлович</t>
  </si>
  <si>
    <t>Сергеева Полина Марковна</t>
  </si>
  <si>
    <t>Серебрякова Ангелина Максимовна</t>
  </si>
  <si>
    <t>Емельянов Михаил Георгиевич</t>
  </si>
  <si>
    <t>Степанов Михаил Маркович</t>
  </si>
  <si>
    <t>Серов Сергей Кириллович</t>
  </si>
  <si>
    <t>Кузнецова Валерия Мирославовна</t>
  </si>
  <si>
    <t>Широкова Мария Ивановна</t>
  </si>
  <si>
    <t>Агеев Богдан Владимирович</t>
  </si>
  <si>
    <t>Андреева Мелания Александровна</t>
  </si>
  <si>
    <t>Денисов Тимофей Эрикович</t>
  </si>
  <si>
    <t>Соколова Мелисса Матвеевна</t>
  </si>
  <si>
    <t>Климова Дарья Ивановна</t>
  </si>
  <si>
    <t>Кузьмина Аделина Данииловна</t>
  </si>
  <si>
    <t>Макарова София Эмильевна</t>
  </si>
  <si>
    <t>Ермилов Мирон Максимович</t>
  </si>
  <si>
    <t>Сергеев Матвей Дмитриевич</t>
  </si>
  <si>
    <t>Ткачев Михаил Денисович</t>
  </si>
  <si>
    <t>премия</t>
  </si>
  <si>
    <t>Иванов Иван Иванович</t>
  </si>
  <si>
    <t xml:space="preserve">Курьер
</t>
  </si>
  <si>
    <t>Январь</t>
  </si>
  <si>
    <t>Февраль</t>
  </si>
  <si>
    <t>Март</t>
  </si>
  <si>
    <t>Апрель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</si>
  <si>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</si>
  <si>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</si>
  <si>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</si>
  <si>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</si>
  <si>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</si>
  <si>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</si>
  <si>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</si>
  <si>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Итоги за год</t>
  </si>
  <si>
    <t>Налоги 13-%</t>
  </si>
  <si>
    <t>Итог за год</t>
  </si>
  <si>
    <t xml:space="preserve">Итого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</si>
</sst>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итоги</a:t>
            </a:r>
            <a:r>
              <a:rPr lang="ru-RU" baseline="0"/>
              <a:t> 10 сотрудника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Итоги!$B$10:$M$10</c:f>
              <c:numCache>
                <c:formatCode>General</c:formatCode>
                <c:ptCount val="12"/>
                <c:pt idx="0">
                  <c:v>8224</c:v>
                </c:pt>
                <c:pt idx="1">
                  <c:v>6896</c:v>
                </c:pt>
                <c:pt idx="2">
                  <c:v>10702</c:v>
                </c:pt>
                <c:pt idx="3">
                  <c:v>10108</c:v>
                </c:pt>
                <c:pt idx="4">
                  <c:v>10702</c:v>
                </c:pt>
                <c:pt idx="5">
                  <c:v>10189</c:v>
                </c:pt>
                <c:pt idx="6">
                  <c:v>10246</c:v>
                </c:pt>
                <c:pt idx="7">
                  <c:v>9411</c:v>
                </c:pt>
                <c:pt idx="8">
                  <c:v>7443</c:v>
                </c:pt>
                <c:pt idx="9">
                  <c:v>11229</c:v>
                </c:pt>
                <c:pt idx="10">
                  <c:v>12909</c:v>
                </c:pt>
                <c:pt idx="11">
                  <c:v>10392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BD-4B75-9840-079C3C71B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2013999"/>
        <c:axId val="1222196431"/>
      </c:lineChart>
      <c:catAx>
        <c:axId val="13820139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2196431"/>
        <c:crosses val="autoZero"/>
        <c:auto val="1"/>
        <c:lblAlgn val="ctr"/>
        <c:lblOffset val="100"/>
        <c:noMultiLvlLbl val="0"/>
      </c:catAx>
      <c:valAx>
        <c:axId val="122219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82013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Итоги!$A$6</c:f>
              <c:strCache>
                <c:ptCount val="1"/>
                <c:pt idx="0">
                  <c:v>Орлов Дмитрий Андреевич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Итоги!$B$6:$M$6</c:f>
              <c:numCache>
                <c:formatCode>General</c:formatCode>
                <c:ptCount val="12"/>
                <c:pt idx="0">
                  <c:v>8558</c:v>
                </c:pt>
                <c:pt idx="1">
                  <c:v>5574</c:v>
                </c:pt>
                <c:pt idx="2">
                  <c:v>8755</c:v>
                </c:pt>
                <c:pt idx="3">
                  <c:v>11239</c:v>
                </c:pt>
                <c:pt idx="4">
                  <c:v>8755</c:v>
                </c:pt>
                <c:pt idx="5">
                  <c:v>7554</c:v>
                </c:pt>
                <c:pt idx="6">
                  <c:v>12176</c:v>
                </c:pt>
                <c:pt idx="7">
                  <c:v>8800</c:v>
                </c:pt>
                <c:pt idx="8">
                  <c:v>11338</c:v>
                </c:pt>
                <c:pt idx="9">
                  <c:v>15680</c:v>
                </c:pt>
                <c:pt idx="10">
                  <c:v>13395</c:v>
                </c:pt>
                <c:pt idx="11">
                  <c:v>11774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67-4AEE-88AC-0A90790132A0}"/>
            </c:ext>
          </c:extLst>
        </c:ser>
        <c:ser>
          <c:idx val="1"/>
          <c:order val="1"/>
          <c:tx>
            <c:strRef>
              <c:f>Итоги!$A$11</c:f>
              <c:strCache>
                <c:ptCount val="1"/>
                <c:pt idx="0">
                  <c:v>Потапова Адель Тимуровна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Итоги!$B$11:$M$11</c:f>
              <c:numCache>
                <c:formatCode>General</c:formatCode>
                <c:ptCount val="12"/>
                <c:pt idx="0">
                  <c:v>9253</c:v>
                </c:pt>
                <c:pt idx="1">
                  <c:v>11685</c:v>
                </c:pt>
                <c:pt idx="2">
                  <c:v>10870</c:v>
                </c:pt>
                <c:pt idx="3">
                  <c:v>9767</c:v>
                </c:pt>
                <c:pt idx="4">
                  <c:v>10870</c:v>
                </c:pt>
                <c:pt idx="5">
                  <c:v>7757</c:v>
                </c:pt>
                <c:pt idx="6">
                  <c:v>12307</c:v>
                </c:pt>
                <c:pt idx="7">
                  <c:v>9507</c:v>
                </c:pt>
                <c:pt idx="8">
                  <c:v>11245</c:v>
                </c:pt>
                <c:pt idx="9">
                  <c:v>10841</c:v>
                </c:pt>
                <c:pt idx="10">
                  <c:v>13491</c:v>
                </c:pt>
                <c:pt idx="11">
                  <c:v>13605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67-4AEE-88AC-0A90790132A0}"/>
            </c:ext>
          </c:extLst>
        </c:ser>
        <c:ser>
          <c:idx val="2"/>
          <c:order val="2"/>
          <c:tx>
            <c:strRef>
              <c:f>Итоги!$A$16</c:f>
              <c:strCache>
                <c:ptCount val="1"/>
                <c:pt idx="0">
                  <c:v>Серебрякова Ангелина Максимовна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Итоги!$B$16:$M$16</c:f>
              <c:numCache>
                <c:formatCode>General</c:formatCode>
                <c:ptCount val="12"/>
                <c:pt idx="0">
                  <c:v>8226</c:v>
                </c:pt>
                <c:pt idx="1">
                  <c:v>10284</c:v>
                </c:pt>
                <c:pt idx="2">
                  <c:v>8203</c:v>
                </c:pt>
                <c:pt idx="3">
                  <c:v>10696</c:v>
                </c:pt>
                <c:pt idx="4">
                  <c:v>8203</c:v>
                </c:pt>
                <c:pt idx="5">
                  <c:v>6429</c:v>
                </c:pt>
                <c:pt idx="6">
                  <c:v>11481</c:v>
                </c:pt>
                <c:pt idx="7">
                  <c:v>11900</c:v>
                </c:pt>
                <c:pt idx="8">
                  <c:v>11800</c:v>
                </c:pt>
                <c:pt idx="9">
                  <c:v>12405</c:v>
                </c:pt>
                <c:pt idx="10">
                  <c:v>12826</c:v>
                </c:pt>
                <c:pt idx="11">
                  <c:v>14454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67-4AEE-88AC-0A90790132A0}"/>
            </c:ext>
          </c:extLst>
        </c:ser>
        <c:ser>
          <c:idx val="3"/>
          <c:order val="3"/>
          <c:tx>
            <c:strRef>
              <c:f>Итоги!$A$21</c:f>
              <c:strCache>
                <c:ptCount val="1"/>
                <c:pt idx="0">
                  <c:v>Широкова Мария Ивановна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Итоги!$B$21:$M$21</c:f>
              <c:numCache>
                <c:formatCode>General</c:formatCode>
                <c:ptCount val="12"/>
                <c:pt idx="0">
                  <c:v>5870</c:v>
                </c:pt>
                <c:pt idx="1">
                  <c:v>8871</c:v>
                </c:pt>
                <c:pt idx="2">
                  <c:v>10575</c:v>
                </c:pt>
                <c:pt idx="3">
                  <c:v>8979</c:v>
                </c:pt>
                <c:pt idx="4">
                  <c:v>10575</c:v>
                </c:pt>
                <c:pt idx="5">
                  <c:v>6882</c:v>
                </c:pt>
                <c:pt idx="6">
                  <c:v>11028</c:v>
                </c:pt>
                <c:pt idx="7">
                  <c:v>11164</c:v>
                </c:pt>
                <c:pt idx="8">
                  <c:v>10805</c:v>
                </c:pt>
                <c:pt idx="9">
                  <c:v>15765</c:v>
                </c:pt>
                <c:pt idx="10">
                  <c:v>8528</c:v>
                </c:pt>
                <c:pt idx="11">
                  <c:v>14505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67-4AEE-88AC-0A90790132A0}"/>
            </c:ext>
          </c:extLst>
        </c:ser>
        <c:ser>
          <c:idx val="4"/>
          <c:order val="4"/>
          <c:tx>
            <c:strRef>
              <c:f>Итоги!$A$26</c:f>
              <c:strCache>
                <c:ptCount val="1"/>
                <c:pt idx="0">
                  <c:v>Климова Дарья Ивановна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Итоги!$B$26:$M$26</c:f>
              <c:numCache>
                <c:formatCode>General</c:formatCode>
                <c:ptCount val="12"/>
                <c:pt idx="0">
                  <c:v>9924</c:v>
                </c:pt>
                <c:pt idx="1">
                  <c:v>6814</c:v>
                </c:pt>
                <c:pt idx="2">
                  <c:v>9081</c:v>
                </c:pt>
                <c:pt idx="3">
                  <c:v>8755</c:v>
                </c:pt>
                <c:pt idx="4">
                  <c:v>9081</c:v>
                </c:pt>
                <c:pt idx="5">
                  <c:v>11266</c:v>
                </c:pt>
                <c:pt idx="6">
                  <c:v>12663</c:v>
                </c:pt>
                <c:pt idx="7">
                  <c:v>9616</c:v>
                </c:pt>
                <c:pt idx="8">
                  <c:v>13444</c:v>
                </c:pt>
                <c:pt idx="9">
                  <c:v>13968</c:v>
                </c:pt>
                <c:pt idx="10">
                  <c:v>15063</c:v>
                </c:pt>
                <c:pt idx="11">
                  <c:v>14562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67-4AEE-88AC-0A90790132A0}"/>
            </c:ext>
          </c:extLst>
        </c:ser>
        <c:ser>
          <c:idx val="5"/>
          <c:order val="5"/>
          <c:tx>
            <c:strRef>
              <c:f>Итоги!$A$31</c:f>
              <c:strCache>
                <c:ptCount val="1"/>
                <c:pt idx="0">
                  <c:v>Ткачев Михаил Денисович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Итоги!$B$31:$M$31</c:f>
              <c:numCache>
                <c:formatCode>General</c:formatCode>
                <c:ptCount val="12"/>
                <c:pt idx="0">
                  <c:v>8112</c:v>
                </c:pt>
                <c:pt idx="1">
                  <c:v>9460</c:v>
                </c:pt>
                <c:pt idx="2">
                  <c:v>11546</c:v>
                </c:pt>
                <c:pt idx="3">
                  <c:v>8444</c:v>
                </c:pt>
                <c:pt idx="4">
                  <c:v>11546</c:v>
                </c:pt>
                <c:pt idx="5">
                  <c:v>9359</c:v>
                </c:pt>
                <c:pt idx="6">
                  <c:v>11007</c:v>
                </c:pt>
                <c:pt idx="7">
                  <c:v>7404</c:v>
                </c:pt>
                <c:pt idx="8">
                  <c:v>11885</c:v>
                </c:pt>
                <c:pt idx="9">
                  <c:v>10275</c:v>
                </c:pt>
                <c:pt idx="10">
                  <c:v>13734</c:v>
                </c:pt>
                <c:pt idx="11">
                  <c:v>10647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B67-4AEE-88AC-0A9079013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616127"/>
        <c:axId val="299617087"/>
      </c:barChart>
      <c:catAx>
        <c:axId val="2996161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9617087"/>
        <c:crosses val="autoZero"/>
        <c:auto val="1"/>
        <c:lblAlgn val="ctr"/>
        <c:lblOffset val="100"/>
        <c:noMultiLvlLbl val="0"/>
      </c:catAx>
      <c:valAx>
        <c:axId val="29961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961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</a:t>
            </a:r>
            <a:r>
              <a:rPr lang="ru-RU" baseline="0"/>
              <a:t> сентябрь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v>Иванов Иван Иванович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3BF-433B-9CAB-57CC3A39A2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3BF-433B-9CAB-57CC3A39A2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3BF-433B-9CAB-57CC3A39A26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3BF-433B-9CAB-57CC3A39A26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3BF-433B-9CAB-57CC3A39A26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Итоги!$J$2:$J$6</c:f>
              <c:numCache>
                <c:formatCode>General</c:formatCode>
                <c:ptCount val="5"/>
                <c:pt idx="0">
                  <c:v>12122</c:v>
                </c:pt>
                <c:pt idx="1">
                  <c:v>10523</c:v>
                </c:pt>
                <c:pt idx="2">
                  <c:v>11328</c:v>
                </c:pt>
                <c:pt idx="3">
                  <c:v>14025</c:v>
                </c:pt>
                <c:pt idx="4">
                  <c:v>11338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3BF-433B-9CAB-57CC3A39A26B}"/>
            </c:ext>
          </c:extLst>
        </c:ser>
        <c:ser>
          <c:idx val="1"/>
          <c:order val="1"/>
          <c:tx>
            <c:v>Иванов Иван Иванович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B-B3BF-433B-9CAB-57CC3A39A26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85725</xdr:colOff>
      <xdr:row>15</xdr:row>
      <xdr:rowOff>166687</xdr:rowOff>
    </xdr:from>
    <xdr:to>
      <xdr:col>21</xdr:col>
      <xdr:colOff>390525</xdr:colOff>
      <xdr:row>30</xdr:row>
      <xdr:rowOff>52387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1ACB130-8D1A-05BF-E73D-E8213AEEA9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407096</xdr:colOff>
      <xdr:row>4</xdr:row>
      <xdr:rowOff>31315</xdr:rowOff>
    </xdr:from>
    <xdr:to>
      <xdr:col>29</xdr:col>
      <xdr:colOff>334028</xdr:colOff>
      <xdr:row>20</xdr:row>
      <xdr:rowOff>160751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24EAC11-8117-976A-8F99-5B92304DB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83507</xdr:colOff>
      <xdr:row>1</xdr:row>
      <xdr:rowOff>0</xdr:rowOff>
    </xdr:from>
    <xdr:to>
      <xdr:col>21</xdr:col>
      <xdr:colOff>388307</xdr:colOff>
      <xdr:row>15</xdr:row>
      <xdr:rowOff>70772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5783E679-A20F-4F2F-B0CF-16F468C541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0.43168</cdr:x>
      <cdr:y>0.09845</cdr:y>
    </cdr:from>
    <cdr:to>
      <cdr:x>0.63564</cdr:x>
      <cdr:y>0.16526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DF8AAA8-9C4B-C494-6C3A-1A1DDA85BBA8}"/>
            </a:ext>
          </a:extLst>
        </cdr:cNvPr>
        <cdr:cNvSpPr txBox="1"/>
      </cdr:nvSpPr>
      <cdr:spPr>
        <a:xfrm xmlns:a="http://schemas.openxmlformats.org/drawingml/2006/main">
          <a:off x="2275560" y="292274"/>
          <a:ext cx="1075151" cy="1983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100"/>
            <a:t>5,10,15,20,25,30</a:t>
          </a:r>
        </a:p>
      </cdr:txBody>
    </cdr:sp>
  </cdr:relSizeAnchor>
</c:userShape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Стандартная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6B120-AA27-4D4E-8580-F4FBA1E9DC44}">
  <dimension ref="A1:L31"/>
  <sheetViews>
    <sheetView workbookViewId="0">
      <selection activeCell="J26" sqref="J26"/>
    </sheetView>
  </sheetViews>
  <sheetFormatPr defaultRowHeight="13.8" x14ac:dyDescent="0.25"/>
  <cols>
    <col min="1" max="1" width="32" customWidth="1"/>
    <col min="2" max="2" width="35.3984375" customWidth="1"/>
    <col min="3" max="3" width="17" customWidth="1"/>
    <col min="4" max="4" width="17.69921875" customWidth="1"/>
    <col min="5" max="5" width="18.3984375" customWidth="1"/>
    <col min="11" max="12" width="19.8984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1" t="s">
        <v>1</v>
      </c>
      <c r="L1" s="1" t="s">
        <v>39</v>
      </c>
    </row>
    <row r="2" spans="1:12" ht="19.5" customHeight="1" x14ac:dyDescent="0.25">
      <c r="A2" s="1" t="s">
        <v>40</v>
      </c>
      <c r="B2" s="3" t="s">
        <v>41</v>
      </c>
      <c r="C2">
        <v>4700</v>
      </c>
      <c r="D2" s="1">
        <f ca="1">RANDBETWEEN(1000,5000)</f>
        <v>1515</v>
      </c>
      <c r="E2" s="1">
        <f ca="1">C2+D2</f>
        <v>6215</v>
      </c>
      <c r="K2" s="1" t="s">
        <v>5</v>
      </c>
      <c r="L2" s="1">
        <v>4500</v>
      </c>
    </row>
    <row r="3" spans="1:12" x14ac:dyDescent="0.25">
      <c r="A3" s="1" t="s">
        <v>10</v>
      </c>
      <c r="B3" s="1" t="str" cm="1">
        <f t="array" aca="1" ref="B3" ca="1">INDEX($K$2:$K$6, RANDBETWEEN(1, COUNTA($K$2:$K$6)))</f>
        <v>Уборщик</v>
      </c>
      <c r="C3">
        <f ca="1">VLOOKUP(B3,$K$1:$L$6,2,0)</f>
        <v>6000</v>
      </c>
      <c r="D3" s="1">
        <f ca="1">RANDBETWEEN(1000,5000)</f>
        <v>4732</v>
      </c>
      <c r="E3" s="1">
        <f ca="1">C3+D3</f>
        <v>10732</v>
      </c>
      <c r="K3" s="1" t="s">
        <v>6</v>
      </c>
      <c r="L3" s="1">
        <v>4550</v>
      </c>
    </row>
    <row r="4" spans="1:12" x14ac:dyDescent="0.25">
      <c r="A4" s="1" t="s">
        <v>11</v>
      </c>
      <c r="B4" s="1" t="str" cm="1">
        <f t="array" aca="1" ref="B4" ca="1">INDEX($K$2:$K$6, RANDBETWEEN(1, COUNTA($K$2:$K$6)))</f>
        <v>Бариста</v>
      </c>
      <c r="C4">
        <f t="shared" ref="C4:C31" ca="1" si="0">VLOOKUP(B4,$K$1:$L$6,2,0)</f>
        <v>4300</v>
      </c>
      <c r="D4" s="1">
        <f t="shared" ref="D4:D31" ca="1" si="1">RANDBETWEEN(1000,5000)</f>
        <v>1070</v>
      </c>
      <c r="E4" s="1">
        <f t="shared" ref="E4:E31" ca="1" si="2">C4+D4</f>
        <v>5370</v>
      </c>
      <c r="K4" s="1" t="s">
        <v>7</v>
      </c>
      <c r="L4" s="1">
        <v>4300</v>
      </c>
    </row>
    <row r="5" spans="1:12" x14ac:dyDescent="0.25">
      <c r="A5" s="1" t="s">
        <v>12</v>
      </c>
      <c r="B5" s="1" t="str" cm="1">
        <f t="array" aca="1" ref="B5" ca="1">INDEX($K$2:$K$6, RANDBETWEEN(1, COUNTA($K$2:$K$6)))</f>
        <v>Директор</v>
      </c>
      <c r="C5">
        <f t="shared" ca="1" si="0"/>
        <v>4500</v>
      </c>
      <c r="D5" s="1">
        <f t="shared" ca="1" si="1"/>
        <v>3828</v>
      </c>
      <c r="E5" s="1">
        <f t="shared" ca="1" si="2"/>
        <v>8328</v>
      </c>
      <c r="K5" s="1" t="s">
        <v>8</v>
      </c>
      <c r="L5" s="1">
        <v>6000</v>
      </c>
    </row>
    <row r="6" spans="1:12" x14ac:dyDescent="0.25">
      <c r="A6" s="1" t="s">
        <v>13</v>
      </c>
      <c r="B6" s="1" t="str" cm="1">
        <f t="array" aca="1" ref="B6" ca="1">INDEX($K$2:$K$6, RANDBETWEEN(1, COUNTA($K$2:$K$6)))</f>
        <v>Уборщик</v>
      </c>
      <c r="C6">
        <f t="shared" ca="1" si="0"/>
        <v>6000</v>
      </c>
      <c r="D6" s="1">
        <f t="shared" ca="1" si="1"/>
        <v>2558</v>
      </c>
      <c r="E6" s="1">
        <f t="shared" ca="1" si="2"/>
        <v>8558</v>
      </c>
      <c r="K6" s="1" t="s">
        <v>9</v>
      </c>
      <c r="L6" s="1">
        <v>4700</v>
      </c>
    </row>
    <row r="7" spans="1:12" x14ac:dyDescent="0.25">
      <c r="A7" s="1" t="s">
        <v>14</v>
      </c>
      <c r="B7" s="1" t="str" cm="1">
        <f t="array" aca="1" ref="B7" ca="1">INDEX($K$2:$K$6, RANDBETWEEN(1, COUNTA($K$2:$K$6)))</f>
        <v>Курьер</v>
      </c>
      <c r="C7">
        <f t="shared" ca="1" si="0"/>
        <v>4700</v>
      </c>
      <c r="D7" s="1">
        <f t="shared" ca="1" si="1"/>
        <v>2682</v>
      </c>
      <c r="E7" s="1">
        <f t="shared" ca="1" si="2"/>
        <v>7382</v>
      </c>
    </row>
    <row r="8" spans="1:12" x14ac:dyDescent="0.25">
      <c r="A8" s="1" t="s">
        <v>15</v>
      </c>
      <c r="B8" s="1" t="str" cm="1">
        <f t="array" aca="1" ref="B8" ca="1">INDEX($K$2:$K$6, RANDBETWEEN(1, COUNTA($K$2:$K$6)))</f>
        <v>Бариста</v>
      </c>
      <c r="C8">
        <f t="shared" ca="1" si="0"/>
        <v>4300</v>
      </c>
      <c r="D8" s="1">
        <f t="shared" ca="1" si="1"/>
        <v>1469</v>
      </c>
      <c r="E8" s="1">
        <f t="shared" ca="1" si="2"/>
        <v>5769</v>
      </c>
    </row>
    <row r="9" spans="1:12" x14ac:dyDescent="0.25">
      <c r="A9" s="1" t="s">
        <v>16</v>
      </c>
      <c r="B9" s="1" t="str" cm="1">
        <f t="array" aca="1" ref="B9" ca="1">INDEX($K$2:$K$6, RANDBETWEEN(1, COUNTA($K$2:$K$6)))</f>
        <v>Бариста</v>
      </c>
      <c r="C9">
        <f t="shared" ca="1" si="0"/>
        <v>4300</v>
      </c>
      <c r="D9" s="1">
        <f t="shared" ca="1" si="1"/>
        <v>4697</v>
      </c>
      <c r="E9" s="1">
        <f t="shared" ca="1" si="2"/>
        <v>8997</v>
      </c>
    </row>
    <row r="10" spans="1:12" x14ac:dyDescent="0.25">
      <c r="A10" s="1" t="s">
        <v>17</v>
      </c>
      <c r="B10" s="1" t="str" cm="1">
        <f t="array" aca="1" ref="B10" ca="1">INDEX($K$2:$K$6, RANDBETWEEN(1, COUNTA($K$2:$K$6)))</f>
        <v>Курьер</v>
      </c>
      <c r="C10">
        <f t="shared" ca="1" si="0"/>
        <v>4700</v>
      </c>
      <c r="D10" s="1">
        <f t="shared" ca="1" si="1"/>
        <v>3524</v>
      </c>
      <c r="E10" s="1">
        <f t="shared" ca="1" si="2"/>
        <v>8224</v>
      </c>
    </row>
    <row r="11" spans="1:12" x14ac:dyDescent="0.25">
      <c r="A11" s="1" t="s">
        <v>18</v>
      </c>
      <c r="B11" s="1" t="str" cm="1">
        <f t="array" aca="1" ref="B11" ca="1">INDEX($K$2:$K$6, RANDBETWEEN(1, COUNTA($K$2:$K$6)))</f>
        <v>Директор</v>
      </c>
      <c r="C11">
        <f t="shared" ca="1" si="0"/>
        <v>4500</v>
      </c>
      <c r="D11" s="1">
        <f t="shared" ca="1" si="1"/>
        <v>4753</v>
      </c>
      <c r="E11" s="1">
        <f t="shared" ca="1" si="2"/>
        <v>9253</v>
      </c>
    </row>
    <row r="12" spans="1:12" x14ac:dyDescent="0.25">
      <c r="A12" s="1" t="s">
        <v>19</v>
      </c>
      <c r="B12" s="1" t="str" cm="1">
        <f t="array" aca="1" ref="B12" ca="1">INDEX($K$2:$K$6, RANDBETWEEN(1, COUNTA($K$2:$K$6)))</f>
        <v>Бариста</v>
      </c>
      <c r="C12">
        <f t="shared" ca="1" si="0"/>
        <v>4300</v>
      </c>
      <c r="D12" s="1">
        <f t="shared" ca="1" si="1"/>
        <v>2184</v>
      </c>
      <c r="E12" s="1">
        <f t="shared" ca="1" si="2"/>
        <v>6484</v>
      </c>
    </row>
    <row r="13" spans="1:12" x14ac:dyDescent="0.25">
      <c r="A13" s="1" t="s">
        <v>20</v>
      </c>
      <c r="B13" s="1" t="str" cm="1">
        <f t="array" aca="1" ref="B13" ca="1">INDEX($K$2:$K$6, RANDBETWEEN(1, COUNTA($K$2:$K$6)))</f>
        <v>Курьер</v>
      </c>
      <c r="C13">
        <f t="shared" ca="1" si="0"/>
        <v>4700</v>
      </c>
      <c r="D13" s="1">
        <f t="shared" ca="1" si="1"/>
        <v>1904</v>
      </c>
      <c r="E13" s="1">
        <f t="shared" ca="1" si="2"/>
        <v>6604</v>
      </c>
    </row>
    <row r="14" spans="1:12" x14ac:dyDescent="0.25">
      <c r="A14" s="1" t="s">
        <v>21</v>
      </c>
      <c r="B14" s="1" t="str" cm="1">
        <f t="array" aca="1" ref="B14" ca="1">INDEX($K$2:$K$6, RANDBETWEEN(1, COUNTA($K$2:$K$6)))</f>
        <v>Директор</v>
      </c>
      <c r="C14">
        <f t="shared" ca="1" si="0"/>
        <v>4500</v>
      </c>
      <c r="D14" s="1">
        <f t="shared" ca="1" si="1"/>
        <v>2420</v>
      </c>
      <c r="E14" s="1">
        <f t="shared" ca="1" si="2"/>
        <v>6920</v>
      </c>
    </row>
    <row r="15" spans="1:12" x14ac:dyDescent="0.25">
      <c r="A15" s="1" t="s">
        <v>22</v>
      </c>
      <c r="B15" s="1" t="str" cm="1">
        <f t="array" aca="1" ref="B15" ca="1">INDEX($K$2:$K$6, RANDBETWEEN(1, COUNTA($K$2:$K$6)))</f>
        <v>Уборщик</v>
      </c>
      <c r="C15">
        <f t="shared" ca="1" si="0"/>
        <v>6000</v>
      </c>
      <c r="D15" s="1">
        <f t="shared" ca="1" si="1"/>
        <v>2488</v>
      </c>
      <c r="E15" s="1">
        <f t="shared" ca="1" si="2"/>
        <v>8488</v>
      </c>
    </row>
    <row r="16" spans="1:12" x14ac:dyDescent="0.25">
      <c r="A16" s="1" t="s">
        <v>23</v>
      </c>
      <c r="B16" s="1" t="str" cm="1">
        <f t="array" aca="1" ref="B16" ca="1">INDEX($K$2:$K$6, RANDBETWEEN(1, COUNTA($K$2:$K$6)))</f>
        <v>Бариста</v>
      </c>
      <c r="C16">
        <f t="shared" ca="1" si="0"/>
        <v>4300</v>
      </c>
      <c r="D16" s="1">
        <f t="shared" ca="1" si="1"/>
        <v>3926</v>
      </c>
      <c r="E16" s="1">
        <f t="shared" ca="1" si="2"/>
        <v>8226</v>
      </c>
    </row>
    <row r="17" spans="1:5" x14ac:dyDescent="0.25">
      <c r="A17" s="1" t="s">
        <v>24</v>
      </c>
      <c r="B17" s="1" t="str" cm="1">
        <f t="array" aca="1" ref="B17" ca="1">INDEX($K$2:$K$6, RANDBETWEEN(1, COUNTA($K$2:$K$6)))</f>
        <v>Директор</v>
      </c>
      <c r="C17">
        <f t="shared" ca="1" si="0"/>
        <v>4500</v>
      </c>
      <c r="D17" s="1">
        <f t="shared" ca="1" si="1"/>
        <v>3761</v>
      </c>
      <c r="E17" s="1">
        <f t="shared" ca="1" si="2"/>
        <v>8261</v>
      </c>
    </row>
    <row r="18" spans="1:5" x14ac:dyDescent="0.25">
      <c r="A18" s="1" t="s">
        <v>25</v>
      </c>
      <c r="B18" s="1" t="str" cm="1">
        <f t="array" aca="1" ref="B18" ca="1">INDEX($K$2:$K$6, RANDBETWEEN(1, COUNTA($K$2:$K$6)))</f>
        <v>Бариста</v>
      </c>
      <c r="C18">
        <f t="shared" ca="1" si="0"/>
        <v>4300</v>
      </c>
      <c r="D18" s="1">
        <f t="shared" ca="1" si="1"/>
        <v>4515</v>
      </c>
      <c r="E18" s="1">
        <f t="shared" ca="1" si="2"/>
        <v>8815</v>
      </c>
    </row>
    <row r="19" spans="1:5" x14ac:dyDescent="0.25">
      <c r="A19" s="1" t="s">
        <v>26</v>
      </c>
      <c r="B19" s="1" t="str" cm="1">
        <f t="array" aca="1" ref="B19" ca="1">INDEX($K$2:$K$6, RANDBETWEEN(1, COUNTA($K$2:$K$6)))</f>
        <v>Уборщик</v>
      </c>
      <c r="C19">
        <f t="shared" ca="1" si="0"/>
        <v>6000</v>
      </c>
      <c r="D19" s="1">
        <f t="shared" ca="1" si="1"/>
        <v>4200</v>
      </c>
      <c r="E19" s="1">
        <f t="shared" ca="1" si="2"/>
        <v>10200</v>
      </c>
    </row>
    <row r="20" spans="1:5" x14ac:dyDescent="0.25">
      <c r="A20" s="1" t="s">
        <v>27</v>
      </c>
      <c r="B20" s="1" t="str" cm="1">
        <f t="array" aca="1" ref="B20" ca="1">INDEX($K$2:$K$6, RANDBETWEEN(1, COUNTA($K$2:$K$6)))</f>
        <v>Уборщик</v>
      </c>
      <c r="C20">
        <f t="shared" ca="1" si="0"/>
        <v>6000</v>
      </c>
      <c r="D20" s="1">
        <f t="shared" ca="1" si="1"/>
        <v>4093</v>
      </c>
      <c r="E20" s="1">
        <f t="shared" ca="1" si="2"/>
        <v>10093</v>
      </c>
    </row>
    <row r="21" spans="1:5" x14ac:dyDescent="0.25">
      <c r="A21" s="1" t="s">
        <v>28</v>
      </c>
      <c r="B21" s="1" t="str" cm="1">
        <f t="array" aca="1" ref="B21" ca="1">INDEX($K$2:$K$6, RANDBETWEEN(1, COUNTA($K$2:$K$6)))</f>
        <v>Директор</v>
      </c>
      <c r="C21">
        <f t="shared" ca="1" si="0"/>
        <v>4500</v>
      </c>
      <c r="D21" s="1">
        <f t="shared" ca="1" si="1"/>
        <v>1370</v>
      </c>
      <c r="E21" s="1">
        <f t="shared" ca="1" si="2"/>
        <v>5870</v>
      </c>
    </row>
    <row r="22" spans="1:5" x14ac:dyDescent="0.25">
      <c r="A22" s="1" t="s">
        <v>29</v>
      </c>
      <c r="B22" s="1" t="str" cm="1">
        <f t="array" aca="1" ref="B22" ca="1">INDEX($K$2:$K$6, RANDBETWEEN(1, COUNTA($K$2:$K$6)))</f>
        <v>Уборщик</v>
      </c>
      <c r="C22">
        <f t="shared" ca="1" si="0"/>
        <v>6000</v>
      </c>
      <c r="D22" s="1">
        <f t="shared" ca="1" si="1"/>
        <v>2258</v>
      </c>
      <c r="E22" s="1">
        <f t="shared" ca="1" si="2"/>
        <v>8258</v>
      </c>
    </row>
    <row r="23" spans="1:5" x14ac:dyDescent="0.25">
      <c r="A23" s="1" t="s">
        <v>30</v>
      </c>
      <c r="B23" s="1" t="str" cm="1">
        <f t="array" aca="1" ref="B23" ca="1">INDEX($K$2:$K$6, RANDBETWEEN(1, COUNTA($K$2:$K$6)))</f>
        <v>Админимстратор</v>
      </c>
      <c r="C23">
        <f t="shared" ca="1" si="0"/>
        <v>4550</v>
      </c>
      <c r="D23" s="1">
        <f t="shared" ca="1" si="1"/>
        <v>4066</v>
      </c>
      <c r="E23" s="1">
        <f t="shared" ca="1" si="2"/>
        <v>8616</v>
      </c>
    </row>
    <row r="24" spans="1:5" x14ac:dyDescent="0.25">
      <c r="A24" s="1" t="s">
        <v>31</v>
      </c>
      <c r="B24" s="1" t="str" cm="1">
        <f t="array" aca="1" ref="B24" ca="1">INDEX($K$2:$K$6, RANDBETWEEN(1, COUNTA($K$2:$K$6)))</f>
        <v>Курьер</v>
      </c>
      <c r="C24">
        <f t="shared" ca="1" si="0"/>
        <v>4700</v>
      </c>
      <c r="D24" s="1">
        <f t="shared" ca="1" si="1"/>
        <v>3974</v>
      </c>
      <c r="E24" s="1">
        <f t="shared" ca="1" si="2"/>
        <v>8674</v>
      </c>
    </row>
    <row r="25" spans="1:5" x14ac:dyDescent="0.25">
      <c r="A25" s="1" t="s">
        <v>32</v>
      </c>
      <c r="B25" s="1" t="str" cm="1">
        <f t="array" aca="1" ref="B25" ca="1">INDEX($K$2:$K$6, RANDBETWEEN(1, COUNTA($K$2:$K$6)))</f>
        <v>Админимстратор</v>
      </c>
      <c r="C25">
        <f t="shared" ca="1" si="0"/>
        <v>4550</v>
      </c>
      <c r="D25" s="1">
        <f t="shared" ca="1" si="1"/>
        <v>2705</v>
      </c>
      <c r="E25" s="1">
        <f t="shared" ca="1" si="2"/>
        <v>7255</v>
      </c>
    </row>
    <row r="26" spans="1:5" x14ac:dyDescent="0.25">
      <c r="A26" s="1" t="s">
        <v>33</v>
      </c>
      <c r="B26" s="1" t="str" cm="1">
        <f t="array" aca="1" ref="B26" ca="1">INDEX($K$2:$K$6, RANDBETWEEN(1, COUNTA($K$2:$K$6)))</f>
        <v>Уборщик</v>
      </c>
      <c r="C26">
        <f t="shared" ca="1" si="0"/>
        <v>6000</v>
      </c>
      <c r="D26" s="1">
        <f t="shared" ca="1" si="1"/>
        <v>3924</v>
      </c>
      <c r="E26" s="1">
        <f t="shared" ca="1" si="2"/>
        <v>9924</v>
      </c>
    </row>
    <row r="27" spans="1:5" x14ac:dyDescent="0.25">
      <c r="A27" s="1" t="s">
        <v>34</v>
      </c>
      <c r="B27" s="1" t="str" cm="1">
        <f t="array" aca="1" ref="B27" ca="1">INDEX($K$2:$K$6, RANDBETWEEN(1, COUNTA($K$2:$K$6)))</f>
        <v>Директор</v>
      </c>
      <c r="C27">
        <f t="shared" ca="1" si="0"/>
        <v>4500</v>
      </c>
      <c r="D27" s="1">
        <f t="shared" ca="1" si="1"/>
        <v>1448</v>
      </c>
      <c r="E27" s="1">
        <f t="shared" ca="1" si="2"/>
        <v>5948</v>
      </c>
    </row>
    <row r="28" spans="1:5" x14ac:dyDescent="0.25">
      <c r="A28" s="1" t="s">
        <v>35</v>
      </c>
      <c r="B28" s="1" t="str" cm="1">
        <f t="array" aca="1" ref="B28" ca="1">INDEX($K$2:$K$6, RANDBETWEEN(1, COUNTA($K$2:$K$6)))</f>
        <v>Уборщик</v>
      </c>
      <c r="C28">
        <f t="shared" ca="1" si="0"/>
        <v>6000</v>
      </c>
      <c r="D28" s="1">
        <f t="shared" ca="1" si="1"/>
        <v>4810</v>
      </c>
      <c r="E28" s="1">
        <f t="shared" ca="1" si="2"/>
        <v>10810</v>
      </c>
    </row>
    <row r="29" spans="1:5" x14ac:dyDescent="0.25">
      <c r="A29" s="1" t="s">
        <v>36</v>
      </c>
      <c r="B29" s="1" t="str" cm="1">
        <f t="array" aca="1" ref="B29" ca="1">INDEX($K$2:$K$6, RANDBETWEEN(1, COUNTA($K$2:$K$6)))</f>
        <v>Бариста</v>
      </c>
      <c r="C29">
        <f t="shared" ca="1" si="0"/>
        <v>4300</v>
      </c>
      <c r="D29" s="1">
        <f t="shared" ca="1" si="1"/>
        <v>2614</v>
      </c>
      <c r="E29" s="1">
        <f t="shared" ca="1" si="2"/>
        <v>6914</v>
      </c>
    </row>
    <row r="30" spans="1:5" x14ac:dyDescent="0.25">
      <c r="A30" s="1" t="s">
        <v>37</v>
      </c>
      <c r="B30" s="1" t="str" cm="1">
        <f t="array" aca="1" ref="B30" ca="1">INDEX($K$2:$K$6, RANDBETWEEN(1, COUNTA($K$2:$K$6)))</f>
        <v>Курьер</v>
      </c>
      <c r="C30">
        <f t="shared" ca="1" si="0"/>
        <v>4700</v>
      </c>
      <c r="D30" s="1">
        <f t="shared" ca="1" si="1"/>
        <v>2212</v>
      </c>
      <c r="E30" s="1">
        <f t="shared" ca="1" si="2"/>
        <v>6912</v>
      </c>
    </row>
    <row r="31" spans="1:5" x14ac:dyDescent="0.25">
      <c r="A31" s="1" t="s">
        <v>38</v>
      </c>
      <c r="B31" s="1" t="str" cm="1">
        <f t="array" aca="1" ref="B31" ca="1">INDEX($K$2:$K$6, RANDBETWEEN(1, COUNTA($K$2:$K$6)))</f>
        <v>Курьер</v>
      </c>
      <c r="C31">
        <f t="shared" ca="1" si="0"/>
        <v>4700</v>
      </c>
      <c r="D31" s="1">
        <f t="shared" ca="1" si="1"/>
        <v>3412</v>
      </c>
      <c r="E31" s="1">
        <f t="shared" ca="1" si="2"/>
        <v>8112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8DADF-EBDC-4AEA-8FE2-F1EE85C3144E}">
  <dimension ref="A1:L31"/>
  <sheetViews>
    <sheetView workbookViewId="0">
      <selection activeCell="E2" sqref="E2"/>
    </sheetView>
  </sheetViews>
  <sheetFormatPr defaultRowHeight="13.8" x14ac:dyDescent="0.25"/>
  <cols>
    <col min="1" max="1" width="30.59765625" customWidth="1"/>
    <col min="2" max="2" width="22.3984375" customWidth="1"/>
    <col min="3" max="3" width="16.69921875" customWidth="1"/>
    <col min="4" max="4" width="14.69921875" customWidth="1"/>
    <col min="5" max="5" width="18.09765625" customWidth="1"/>
    <col min="11" max="11" width="12.09765625" customWidth="1"/>
    <col min="12" max="12" width="10.0976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K1" s="1" t="s">
        <v>1</v>
      </c>
      <c r="L1" s="1" t="s">
        <v>2</v>
      </c>
    </row>
    <row r="2" spans="1:12" ht="12" customHeight="1" x14ac:dyDescent="0.25">
      <c r="A2" s="1" t="s">
        <v>40</v>
      </c>
      <c r="B2" s="2" t="s">
        <v>9</v>
      </c>
      <c r="C2">
        <f>VLOOKUP(B2,$K$1:$L$6,2,0)</f>
        <v>4900</v>
      </c>
      <c r="D2" s="1">
        <f ca="1">RANDBETWEEN(2000,5000)</f>
        <v>4083</v>
      </c>
      <c r="E2" s="1">
        <v>10381</v>
      </c>
      <c r="F2" s="1"/>
      <c r="K2" s="1" t="s">
        <v>5</v>
      </c>
      <c r="L2" s="1">
        <v>5000</v>
      </c>
    </row>
    <row r="3" spans="1:12" x14ac:dyDescent="0.25">
      <c r="A3" s="1" t="s">
        <v>10</v>
      </c>
      <c r="B3" s="1" t="s">
        <v>6</v>
      </c>
      <c r="C3">
        <f>VLOOKUP(B3,$K$1:$L$6,2,0)</f>
        <v>4600</v>
      </c>
      <c r="D3" s="1">
        <f ca="1">RANDBETWEEN(2000,5000)</f>
        <v>2689</v>
      </c>
      <c r="E3" s="1">
        <v>10381</v>
      </c>
      <c r="F3" s="1"/>
      <c r="K3" s="1" t="s">
        <v>6</v>
      </c>
      <c r="L3" s="1">
        <v>4600</v>
      </c>
    </row>
    <row r="4" spans="1:12" x14ac:dyDescent="0.25">
      <c r="A4" s="1" t="s">
        <v>11</v>
      </c>
      <c r="B4" s="1" t="s">
        <v>8</v>
      </c>
      <c r="C4">
        <f t="shared" ref="C4:C31" si="0">VLOOKUP(B4,$K$1:$L$6,2,0)</f>
        <v>6100</v>
      </c>
      <c r="D4" s="1">
        <f t="shared" ref="D4:D31" ca="1" si="1">RANDBETWEEN(2000,5000)</f>
        <v>2548</v>
      </c>
      <c r="E4" s="1">
        <v>8251</v>
      </c>
      <c r="F4" s="1"/>
      <c r="K4" s="1" t="s">
        <v>7</v>
      </c>
      <c r="L4" s="1">
        <v>5500</v>
      </c>
    </row>
    <row r="5" spans="1:12" x14ac:dyDescent="0.25">
      <c r="A5" s="1" t="s">
        <v>12</v>
      </c>
      <c r="B5" s="1" t="s">
        <v>9</v>
      </c>
      <c r="C5">
        <f t="shared" si="0"/>
        <v>4900</v>
      </c>
      <c r="D5" s="1">
        <f t="shared" ca="1" si="1"/>
        <v>4533</v>
      </c>
      <c r="E5" s="1">
        <v>6712</v>
      </c>
      <c r="F5" s="1"/>
      <c r="K5" s="1" t="s">
        <v>8</v>
      </c>
      <c r="L5" s="1">
        <v>6100</v>
      </c>
    </row>
    <row r="6" spans="1:12" x14ac:dyDescent="0.25">
      <c r="A6" s="1" t="s">
        <v>13</v>
      </c>
      <c r="B6" s="1" t="s">
        <v>5</v>
      </c>
      <c r="C6">
        <f t="shared" si="0"/>
        <v>5000</v>
      </c>
      <c r="D6" s="1">
        <f t="shared" ca="1" si="1"/>
        <v>3911</v>
      </c>
      <c r="E6" s="1">
        <v>5574</v>
      </c>
      <c r="F6" s="1"/>
      <c r="K6" s="1" t="s">
        <v>9</v>
      </c>
      <c r="L6" s="1">
        <v>4900</v>
      </c>
    </row>
    <row r="7" spans="1:12" x14ac:dyDescent="0.25">
      <c r="A7" s="1" t="s">
        <v>14</v>
      </c>
      <c r="B7" s="1" t="s">
        <v>6</v>
      </c>
      <c r="C7">
        <f t="shared" si="0"/>
        <v>4600</v>
      </c>
      <c r="D7" s="1">
        <f t="shared" ca="1" si="1"/>
        <v>3376</v>
      </c>
      <c r="E7" s="1">
        <v>7903</v>
      </c>
      <c r="F7" s="1"/>
    </row>
    <row r="8" spans="1:12" x14ac:dyDescent="0.25">
      <c r="A8" s="1" t="s">
        <v>15</v>
      </c>
      <c r="B8" s="1" t="s">
        <v>5</v>
      </c>
      <c r="C8">
        <f t="shared" si="0"/>
        <v>5000</v>
      </c>
      <c r="D8" s="1">
        <f t="shared" ca="1" si="1"/>
        <v>2000</v>
      </c>
      <c r="E8" s="1">
        <v>9490</v>
      </c>
      <c r="F8" s="1"/>
    </row>
    <row r="9" spans="1:12" x14ac:dyDescent="0.25">
      <c r="A9" s="1" t="s">
        <v>16</v>
      </c>
      <c r="B9" s="1" t="s">
        <v>9</v>
      </c>
      <c r="C9">
        <f t="shared" si="0"/>
        <v>4900</v>
      </c>
      <c r="D9" s="1">
        <f t="shared" ca="1" si="1"/>
        <v>2720</v>
      </c>
      <c r="E9" s="1">
        <v>10476</v>
      </c>
      <c r="F9" s="1"/>
    </row>
    <row r="10" spans="1:12" x14ac:dyDescent="0.25">
      <c r="A10" s="1" t="s">
        <v>17</v>
      </c>
      <c r="B10" s="1" t="s">
        <v>7</v>
      </c>
      <c r="C10">
        <f t="shared" si="0"/>
        <v>5500</v>
      </c>
      <c r="D10" s="1">
        <f t="shared" ca="1" si="1"/>
        <v>3647</v>
      </c>
      <c r="E10" s="1">
        <v>6896</v>
      </c>
      <c r="F10" s="1"/>
    </row>
    <row r="11" spans="1:12" x14ac:dyDescent="0.25">
      <c r="A11" s="1" t="s">
        <v>18</v>
      </c>
      <c r="B11" s="1" t="s">
        <v>8</v>
      </c>
      <c r="C11">
        <f t="shared" si="0"/>
        <v>6100</v>
      </c>
      <c r="D11" s="1">
        <f t="shared" ca="1" si="1"/>
        <v>4099</v>
      </c>
      <c r="E11" s="1">
        <v>11685</v>
      </c>
      <c r="F11" s="1"/>
    </row>
    <row r="12" spans="1:12" x14ac:dyDescent="0.25">
      <c r="A12" s="1" t="s">
        <v>19</v>
      </c>
      <c r="B12" s="1" t="s">
        <v>5</v>
      </c>
      <c r="C12">
        <f t="shared" si="0"/>
        <v>5000</v>
      </c>
      <c r="D12" s="1">
        <f t="shared" ca="1" si="1"/>
        <v>4651</v>
      </c>
      <c r="E12" s="1">
        <v>6323</v>
      </c>
      <c r="F12" s="1"/>
    </row>
    <row r="13" spans="1:12" x14ac:dyDescent="0.25">
      <c r="A13" s="1" t="s">
        <v>20</v>
      </c>
      <c r="B13" s="1" t="s">
        <v>9</v>
      </c>
      <c r="C13">
        <f t="shared" si="0"/>
        <v>4900</v>
      </c>
      <c r="D13" s="1">
        <f t="shared" ca="1" si="1"/>
        <v>4569</v>
      </c>
      <c r="E13" s="1">
        <v>7323</v>
      </c>
      <c r="F13" s="1"/>
    </row>
    <row r="14" spans="1:12" x14ac:dyDescent="0.25">
      <c r="A14" s="1" t="s">
        <v>21</v>
      </c>
      <c r="B14" s="1" t="s">
        <v>5</v>
      </c>
      <c r="C14">
        <f t="shared" si="0"/>
        <v>5000</v>
      </c>
      <c r="D14" s="1">
        <f t="shared" ca="1" si="1"/>
        <v>4342</v>
      </c>
      <c r="E14" s="1">
        <v>10364</v>
      </c>
      <c r="F14" s="1"/>
    </row>
    <row r="15" spans="1:12" x14ac:dyDescent="0.25">
      <c r="A15" s="1" t="s">
        <v>22</v>
      </c>
      <c r="B15" s="1" t="s">
        <v>7</v>
      </c>
      <c r="C15">
        <f t="shared" si="0"/>
        <v>5500</v>
      </c>
      <c r="D15" s="1">
        <f t="shared" ca="1" si="1"/>
        <v>3596</v>
      </c>
      <c r="E15" s="1">
        <v>5726</v>
      </c>
      <c r="F15" s="1"/>
    </row>
    <row r="16" spans="1:12" x14ac:dyDescent="0.25">
      <c r="A16" s="1" t="s">
        <v>23</v>
      </c>
      <c r="B16" s="1" t="s">
        <v>8</v>
      </c>
      <c r="C16">
        <f t="shared" si="0"/>
        <v>6100</v>
      </c>
      <c r="D16" s="1">
        <f t="shared" ca="1" si="1"/>
        <v>4869</v>
      </c>
      <c r="E16" s="1">
        <v>10284</v>
      </c>
      <c r="F16" s="1"/>
    </row>
    <row r="17" spans="1:6" x14ac:dyDescent="0.25">
      <c r="A17" s="1" t="s">
        <v>24</v>
      </c>
      <c r="B17" s="1" t="s">
        <v>6</v>
      </c>
      <c r="C17">
        <f t="shared" si="0"/>
        <v>4600</v>
      </c>
      <c r="D17" s="1">
        <f t="shared" ca="1" si="1"/>
        <v>2726</v>
      </c>
      <c r="E17" s="1">
        <v>6820</v>
      </c>
      <c r="F17" s="1"/>
    </row>
    <row r="18" spans="1:6" x14ac:dyDescent="0.25">
      <c r="A18" s="1" t="s">
        <v>25</v>
      </c>
      <c r="B18" s="1" t="s">
        <v>7</v>
      </c>
      <c r="C18">
        <f t="shared" si="0"/>
        <v>5500</v>
      </c>
      <c r="D18" s="1">
        <f t="shared" ca="1" si="1"/>
        <v>3809</v>
      </c>
      <c r="E18" s="1">
        <v>8224</v>
      </c>
      <c r="F18" s="1"/>
    </row>
    <row r="19" spans="1:6" x14ac:dyDescent="0.25">
      <c r="A19" s="1" t="s">
        <v>26</v>
      </c>
      <c r="B19" s="1" t="s">
        <v>7</v>
      </c>
      <c r="C19">
        <f t="shared" si="0"/>
        <v>5500</v>
      </c>
      <c r="D19" s="1">
        <f t="shared" ca="1" si="1"/>
        <v>3636</v>
      </c>
      <c r="E19" s="1">
        <v>8505</v>
      </c>
      <c r="F19" s="1"/>
    </row>
    <row r="20" spans="1:6" x14ac:dyDescent="0.25">
      <c r="A20" s="1" t="s">
        <v>27</v>
      </c>
      <c r="B20" s="1" t="s">
        <v>7</v>
      </c>
      <c r="C20">
        <f t="shared" si="0"/>
        <v>5500</v>
      </c>
      <c r="D20" s="1">
        <f t="shared" ca="1" si="1"/>
        <v>4710</v>
      </c>
      <c r="E20" s="1">
        <v>7160</v>
      </c>
      <c r="F20" s="1"/>
    </row>
    <row r="21" spans="1:6" x14ac:dyDescent="0.25">
      <c r="A21" s="1" t="s">
        <v>28</v>
      </c>
      <c r="B21" s="1" t="s">
        <v>6</v>
      </c>
      <c r="C21">
        <f t="shared" si="0"/>
        <v>4600</v>
      </c>
      <c r="D21" s="1">
        <f t="shared" ca="1" si="1"/>
        <v>2400</v>
      </c>
      <c r="E21" s="1">
        <v>8871</v>
      </c>
      <c r="F21" s="1"/>
    </row>
    <row r="22" spans="1:6" x14ac:dyDescent="0.25">
      <c r="A22" s="1" t="s">
        <v>29</v>
      </c>
      <c r="B22" s="1" t="s">
        <v>7</v>
      </c>
      <c r="C22">
        <f t="shared" si="0"/>
        <v>5500</v>
      </c>
      <c r="D22" s="1">
        <f t="shared" ca="1" si="1"/>
        <v>2706</v>
      </c>
      <c r="E22" s="1">
        <v>7065</v>
      </c>
      <c r="F22" s="1"/>
    </row>
    <row r="23" spans="1:6" x14ac:dyDescent="0.25">
      <c r="A23" s="1" t="s">
        <v>30</v>
      </c>
      <c r="B23" s="1" t="s">
        <v>8</v>
      </c>
      <c r="C23">
        <f t="shared" si="0"/>
        <v>6100</v>
      </c>
      <c r="D23" s="1">
        <f t="shared" ca="1" si="1"/>
        <v>2768</v>
      </c>
      <c r="E23" s="1">
        <v>10640</v>
      </c>
      <c r="F23" s="1"/>
    </row>
    <row r="24" spans="1:6" x14ac:dyDescent="0.25">
      <c r="A24" s="1" t="s">
        <v>31</v>
      </c>
      <c r="B24" s="1" t="s">
        <v>5</v>
      </c>
      <c r="C24">
        <f t="shared" si="0"/>
        <v>5000</v>
      </c>
      <c r="D24" s="1">
        <f t="shared" ca="1" si="1"/>
        <v>2120</v>
      </c>
      <c r="E24" s="1">
        <v>9200</v>
      </c>
      <c r="F24" s="1"/>
    </row>
    <row r="25" spans="1:6" x14ac:dyDescent="0.25">
      <c r="A25" s="1" t="s">
        <v>32</v>
      </c>
      <c r="B25" s="1" t="s">
        <v>6</v>
      </c>
      <c r="C25">
        <f t="shared" si="0"/>
        <v>4600</v>
      </c>
      <c r="D25" s="1">
        <f t="shared" ca="1" si="1"/>
        <v>3079</v>
      </c>
      <c r="E25" s="1">
        <v>6333</v>
      </c>
      <c r="F25" s="1"/>
    </row>
    <row r="26" spans="1:6" x14ac:dyDescent="0.25">
      <c r="A26" s="1" t="s">
        <v>33</v>
      </c>
      <c r="B26" s="1" t="s">
        <v>5</v>
      </c>
      <c r="C26">
        <f t="shared" si="0"/>
        <v>5000</v>
      </c>
      <c r="D26" s="1">
        <f t="shared" ca="1" si="1"/>
        <v>3022</v>
      </c>
      <c r="E26" s="1">
        <v>6814</v>
      </c>
      <c r="F26" s="1"/>
    </row>
    <row r="27" spans="1:6" x14ac:dyDescent="0.25">
      <c r="A27" s="1" t="s">
        <v>34</v>
      </c>
      <c r="B27" s="1" t="s">
        <v>6</v>
      </c>
      <c r="C27">
        <f t="shared" si="0"/>
        <v>4600</v>
      </c>
      <c r="D27" s="1">
        <f t="shared" ca="1" si="1"/>
        <v>3564</v>
      </c>
      <c r="E27" s="1">
        <v>7186</v>
      </c>
      <c r="F27" s="1"/>
    </row>
    <row r="28" spans="1:6" x14ac:dyDescent="0.25">
      <c r="A28" s="1" t="s">
        <v>35</v>
      </c>
      <c r="B28" s="1" t="s">
        <v>8</v>
      </c>
      <c r="C28">
        <f t="shared" si="0"/>
        <v>6100</v>
      </c>
      <c r="D28" s="1">
        <f t="shared" ca="1" si="1"/>
        <v>4102</v>
      </c>
      <c r="E28" s="1">
        <v>8727</v>
      </c>
      <c r="F28" s="1"/>
    </row>
    <row r="29" spans="1:6" x14ac:dyDescent="0.25">
      <c r="A29" s="1" t="s">
        <v>36</v>
      </c>
      <c r="B29" s="1" t="s">
        <v>7</v>
      </c>
      <c r="C29">
        <f t="shared" si="0"/>
        <v>5500</v>
      </c>
      <c r="D29" s="1">
        <f t="shared" ca="1" si="1"/>
        <v>2605</v>
      </c>
      <c r="E29" s="1">
        <v>6784</v>
      </c>
      <c r="F29" s="1"/>
    </row>
    <row r="30" spans="1:6" x14ac:dyDescent="0.25">
      <c r="A30" s="1" t="s">
        <v>37</v>
      </c>
      <c r="B30" s="1" t="s">
        <v>9</v>
      </c>
      <c r="C30">
        <f t="shared" si="0"/>
        <v>4900</v>
      </c>
      <c r="D30" s="1">
        <f t="shared" ca="1" si="1"/>
        <v>3698</v>
      </c>
      <c r="E30" s="1">
        <v>6502</v>
      </c>
      <c r="F30" s="1"/>
    </row>
    <row r="31" spans="1:6" x14ac:dyDescent="0.25">
      <c r="A31" s="1" t="s">
        <v>38</v>
      </c>
      <c r="B31" s="1" t="s">
        <v>9</v>
      </c>
      <c r="C31">
        <f t="shared" si="0"/>
        <v>4900</v>
      </c>
      <c r="D31" s="1">
        <f t="shared" ca="1" si="1"/>
        <v>4513</v>
      </c>
      <c r="E31" s="1">
        <v>9460</v>
      </c>
      <c r="F3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13BBE-B3C7-4624-81AD-3154C5E3B2E0}">
  <dimension ref="A1:L32"/>
  <sheetViews>
    <sheetView workbookViewId="0">
      <selection activeCell="K2" sqref="K2:L7"/>
    </sheetView>
  </sheetViews>
  <sheetFormatPr defaultRowHeight="13.8" x14ac:dyDescent="0.25"/>
  <cols>
    <col min="1" max="1" width="33" customWidth="1"/>
    <col min="2" max="2" width="16.3984375" customWidth="1"/>
    <col min="3" max="3" width="12.8984375" customWidth="1"/>
    <col min="4" max="4" width="10.3984375" customWidth="1"/>
    <col min="5" max="5" width="19" customWidth="1"/>
    <col min="11" max="11" width="1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12" ht="20.25" customHeight="1" x14ac:dyDescent="0.25">
      <c r="A2" s="1" t="s">
        <v>40</v>
      </c>
      <c r="B2" s="2" t="s">
        <v>9</v>
      </c>
      <c r="C2" s="1">
        <f>VLOOKUP(B2,$K$2:$L$7,2,0)</f>
        <v>5000</v>
      </c>
      <c r="D2" s="1">
        <f ca="1">RANDBETWEEN(2000,7000)</f>
        <v>3836</v>
      </c>
      <c r="E2" s="1">
        <f ca="1">C2+D2</f>
        <v>8836</v>
      </c>
      <c r="F2" s="1"/>
      <c r="K2" s="1" t="s">
        <v>1</v>
      </c>
      <c r="L2" s="1" t="s">
        <v>2</v>
      </c>
    </row>
    <row r="3" spans="1:12" ht="24.75" customHeight="1" x14ac:dyDescent="0.25">
      <c r="A3" s="1" t="s">
        <v>10</v>
      </c>
      <c r="B3" s="2" t="s">
        <v>6</v>
      </c>
      <c r="C3" s="1">
        <f t="shared" ref="C3:C32" si="0">VLOOKUP(B3,$K$2:$L$7,2,0)</f>
        <v>5000</v>
      </c>
      <c r="D3" s="1">
        <f t="shared" ref="D3:D32" ca="1" si="1">RANDBETWEEN(2000,7000)</f>
        <v>4359</v>
      </c>
      <c r="E3" s="1">
        <f t="shared" ref="E3:E31" ca="1" si="2">C3+D3</f>
        <v>9359</v>
      </c>
      <c r="F3" s="1"/>
      <c r="K3" s="1" t="s">
        <v>5</v>
      </c>
      <c r="L3" s="2">
        <v>6600</v>
      </c>
    </row>
    <row r="4" spans="1:12" x14ac:dyDescent="0.25">
      <c r="A4" s="1" t="s">
        <v>11</v>
      </c>
      <c r="B4" s="1" t="s">
        <v>8</v>
      </c>
      <c r="C4" s="1">
        <f t="shared" si="0"/>
        <v>6000</v>
      </c>
      <c r="D4" s="1">
        <f t="shared" ca="1" si="1"/>
        <v>5135</v>
      </c>
      <c r="E4" s="1">
        <f t="shared" ca="1" si="2"/>
        <v>11135</v>
      </c>
      <c r="F4" s="1"/>
      <c r="K4" s="1" t="s">
        <v>6</v>
      </c>
      <c r="L4" s="2">
        <v>5000</v>
      </c>
    </row>
    <row r="5" spans="1:12" x14ac:dyDescent="0.25">
      <c r="A5" s="1" t="s">
        <v>12</v>
      </c>
      <c r="B5" s="1" t="s">
        <v>9</v>
      </c>
      <c r="C5" s="1">
        <f t="shared" si="0"/>
        <v>5000</v>
      </c>
      <c r="D5" s="1">
        <f t="shared" ca="1" si="1"/>
        <v>5376</v>
      </c>
      <c r="E5" s="1">
        <f t="shared" ca="1" si="2"/>
        <v>10376</v>
      </c>
      <c r="F5" s="1"/>
      <c r="K5" s="1" t="s">
        <v>7</v>
      </c>
      <c r="L5" s="1">
        <v>5400</v>
      </c>
    </row>
    <row r="6" spans="1:12" x14ac:dyDescent="0.25">
      <c r="A6" s="1" t="s">
        <v>13</v>
      </c>
      <c r="B6" s="1" t="s">
        <v>5</v>
      </c>
      <c r="C6" s="1">
        <f t="shared" si="0"/>
        <v>6600</v>
      </c>
      <c r="D6" s="1">
        <f t="shared" ca="1" si="1"/>
        <v>2155</v>
      </c>
      <c r="E6" s="1">
        <f t="shared" ca="1" si="2"/>
        <v>8755</v>
      </c>
      <c r="F6" s="1"/>
      <c r="K6" s="1" t="s">
        <v>8</v>
      </c>
      <c r="L6" s="1">
        <v>6000</v>
      </c>
    </row>
    <row r="7" spans="1:12" x14ac:dyDescent="0.25">
      <c r="A7" s="1" t="s">
        <v>14</v>
      </c>
      <c r="B7" s="1" t="s">
        <v>6</v>
      </c>
      <c r="C7" s="1">
        <f t="shared" si="0"/>
        <v>5000</v>
      </c>
      <c r="D7" s="1">
        <f t="shared" ca="1" si="1"/>
        <v>6533</v>
      </c>
      <c r="E7" s="1">
        <f t="shared" ca="1" si="2"/>
        <v>11533</v>
      </c>
      <c r="F7" s="1"/>
      <c r="K7" s="1" t="s">
        <v>9</v>
      </c>
      <c r="L7" s="1">
        <v>5000</v>
      </c>
    </row>
    <row r="8" spans="1:12" x14ac:dyDescent="0.25">
      <c r="A8" s="1" t="s">
        <v>15</v>
      </c>
      <c r="B8" s="1" t="s">
        <v>5</v>
      </c>
      <c r="C8" s="1">
        <f t="shared" si="0"/>
        <v>6600</v>
      </c>
      <c r="D8" s="1">
        <f t="shared" ca="1" si="1"/>
        <v>5628</v>
      </c>
      <c r="E8" s="1">
        <f t="shared" ca="1" si="2"/>
        <v>12228</v>
      </c>
      <c r="F8" s="1"/>
    </row>
    <row r="9" spans="1:12" x14ac:dyDescent="0.25">
      <c r="A9" s="1" t="s">
        <v>16</v>
      </c>
      <c r="B9" s="1" t="s">
        <v>9</v>
      </c>
      <c r="C9" s="1">
        <f t="shared" si="0"/>
        <v>5000</v>
      </c>
      <c r="D9" s="1">
        <f t="shared" ca="1" si="1"/>
        <v>2868</v>
      </c>
      <c r="E9" s="1">
        <f t="shared" ca="1" si="2"/>
        <v>7868</v>
      </c>
      <c r="F9" s="1"/>
    </row>
    <row r="10" spans="1:12" x14ac:dyDescent="0.25">
      <c r="A10" s="1" t="s">
        <v>17</v>
      </c>
      <c r="B10" s="1" t="s">
        <v>7</v>
      </c>
      <c r="C10" s="1">
        <f t="shared" si="0"/>
        <v>5400</v>
      </c>
      <c r="D10" s="1">
        <f t="shared" ca="1" si="1"/>
        <v>5302</v>
      </c>
      <c r="E10" s="1">
        <f t="shared" ca="1" si="2"/>
        <v>10702</v>
      </c>
      <c r="F10" s="1"/>
    </row>
    <row r="11" spans="1:12" x14ac:dyDescent="0.25">
      <c r="A11" s="1" t="s">
        <v>18</v>
      </c>
      <c r="B11" s="1" t="s">
        <v>8</v>
      </c>
      <c r="C11" s="1">
        <f t="shared" si="0"/>
        <v>6000</v>
      </c>
      <c r="D11" s="1">
        <f t="shared" ca="1" si="1"/>
        <v>4870</v>
      </c>
      <c r="E11" s="1">
        <f t="shared" ca="1" si="2"/>
        <v>10870</v>
      </c>
      <c r="F11" s="1"/>
    </row>
    <row r="12" spans="1:12" x14ac:dyDescent="0.25">
      <c r="A12" s="1" t="s">
        <v>19</v>
      </c>
      <c r="B12" s="1" t="s">
        <v>5</v>
      </c>
      <c r="C12" s="1">
        <f t="shared" si="0"/>
        <v>6600</v>
      </c>
      <c r="D12" s="1">
        <f t="shared" ca="1" si="1"/>
        <v>3148</v>
      </c>
      <c r="E12" s="1">
        <f t="shared" ca="1" si="2"/>
        <v>9748</v>
      </c>
      <c r="F12" s="1"/>
    </row>
    <row r="13" spans="1:12" x14ac:dyDescent="0.25">
      <c r="A13" s="1" t="s">
        <v>20</v>
      </c>
      <c r="B13" s="1" t="s">
        <v>9</v>
      </c>
      <c r="C13" s="1">
        <f t="shared" si="0"/>
        <v>5000</v>
      </c>
      <c r="D13" s="1">
        <f t="shared" ca="1" si="1"/>
        <v>6957</v>
      </c>
      <c r="E13" s="1">
        <f t="shared" ca="1" si="2"/>
        <v>11957</v>
      </c>
      <c r="F13" s="1"/>
    </row>
    <row r="14" spans="1:12" x14ac:dyDescent="0.25">
      <c r="A14" s="1" t="s">
        <v>21</v>
      </c>
      <c r="B14" s="1" t="s">
        <v>5</v>
      </c>
      <c r="C14" s="1">
        <f t="shared" si="0"/>
        <v>6600</v>
      </c>
      <c r="D14" s="1">
        <f t="shared" ca="1" si="1"/>
        <v>4110</v>
      </c>
      <c r="E14" s="1">
        <f t="shared" ca="1" si="2"/>
        <v>10710</v>
      </c>
      <c r="F14" s="1"/>
    </row>
    <row r="15" spans="1:12" x14ac:dyDescent="0.25">
      <c r="A15" s="1" t="s">
        <v>22</v>
      </c>
      <c r="B15" s="1" t="s">
        <v>7</v>
      </c>
      <c r="C15" s="1">
        <f t="shared" si="0"/>
        <v>5400</v>
      </c>
      <c r="D15" s="1">
        <f t="shared" ca="1" si="1"/>
        <v>2468</v>
      </c>
      <c r="E15" s="1">
        <f t="shared" ca="1" si="2"/>
        <v>7868</v>
      </c>
      <c r="F15" s="1"/>
    </row>
    <row r="16" spans="1:12" x14ac:dyDescent="0.25">
      <c r="A16" s="1" t="s">
        <v>23</v>
      </c>
      <c r="B16" s="1" t="s">
        <v>8</v>
      </c>
      <c r="C16" s="1">
        <f t="shared" si="0"/>
        <v>6000</v>
      </c>
      <c r="D16" s="1">
        <f t="shared" ca="1" si="1"/>
        <v>2203</v>
      </c>
      <c r="E16" s="1">
        <f t="shared" ca="1" si="2"/>
        <v>8203</v>
      </c>
      <c r="F16" s="1"/>
    </row>
    <row r="17" spans="1:6" x14ac:dyDescent="0.25">
      <c r="A17" s="1" t="s">
        <v>24</v>
      </c>
      <c r="B17" s="1" t="s">
        <v>6</v>
      </c>
      <c r="C17" s="1">
        <f t="shared" si="0"/>
        <v>5000</v>
      </c>
      <c r="D17" s="1">
        <f t="shared" ca="1" si="1"/>
        <v>3856</v>
      </c>
      <c r="E17" s="1">
        <f t="shared" ca="1" si="2"/>
        <v>8856</v>
      </c>
      <c r="F17" s="1"/>
    </row>
    <row r="18" spans="1:6" x14ac:dyDescent="0.25">
      <c r="A18" s="1" t="s">
        <v>25</v>
      </c>
      <c r="B18" s="1" t="s">
        <v>7</v>
      </c>
      <c r="C18" s="1">
        <f t="shared" si="0"/>
        <v>5400</v>
      </c>
      <c r="D18" s="1">
        <f t="shared" ca="1" si="1"/>
        <v>6246</v>
      </c>
      <c r="E18" s="1">
        <f t="shared" ca="1" si="2"/>
        <v>11646</v>
      </c>
      <c r="F18" s="1"/>
    </row>
    <row r="19" spans="1:6" x14ac:dyDescent="0.25">
      <c r="A19" s="1" t="s">
        <v>26</v>
      </c>
      <c r="B19" s="1" t="s">
        <v>7</v>
      </c>
      <c r="C19" s="1">
        <f t="shared" si="0"/>
        <v>5400</v>
      </c>
      <c r="D19" s="1">
        <f t="shared" ca="1" si="1"/>
        <v>5286</v>
      </c>
      <c r="E19" s="1">
        <f t="shared" ca="1" si="2"/>
        <v>10686</v>
      </c>
      <c r="F19" s="1"/>
    </row>
    <row r="20" spans="1:6" x14ac:dyDescent="0.25">
      <c r="A20" s="1" t="s">
        <v>27</v>
      </c>
      <c r="B20" s="1" t="s">
        <v>7</v>
      </c>
      <c r="C20" s="1">
        <f t="shared" si="0"/>
        <v>5400</v>
      </c>
      <c r="D20" s="1">
        <f t="shared" ca="1" si="1"/>
        <v>4045</v>
      </c>
      <c r="E20" s="1">
        <f t="shared" ca="1" si="2"/>
        <v>9445</v>
      </c>
      <c r="F20" s="1"/>
    </row>
    <row r="21" spans="1:6" x14ac:dyDescent="0.25">
      <c r="A21" s="1" t="s">
        <v>28</v>
      </c>
      <c r="B21" s="1" t="s">
        <v>6</v>
      </c>
      <c r="C21" s="1">
        <f t="shared" si="0"/>
        <v>5000</v>
      </c>
      <c r="D21" s="1">
        <f t="shared" ca="1" si="1"/>
        <v>5575</v>
      </c>
      <c r="E21" s="1">
        <f t="shared" ca="1" si="2"/>
        <v>10575</v>
      </c>
      <c r="F21" s="1"/>
    </row>
    <row r="22" spans="1:6" x14ac:dyDescent="0.25">
      <c r="A22" s="1" t="s">
        <v>29</v>
      </c>
      <c r="B22" s="1" t="s">
        <v>7</v>
      </c>
      <c r="C22" s="1">
        <f t="shared" si="0"/>
        <v>5400</v>
      </c>
      <c r="D22" s="1">
        <f t="shared" ca="1" si="1"/>
        <v>4418</v>
      </c>
      <c r="E22" s="1">
        <f t="shared" ca="1" si="2"/>
        <v>9818</v>
      </c>
      <c r="F22" s="1"/>
    </row>
    <row r="23" spans="1:6" x14ac:dyDescent="0.25">
      <c r="A23" s="1" t="s">
        <v>30</v>
      </c>
      <c r="B23" s="1" t="s">
        <v>8</v>
      </c>
      <c r="C23" s="1">
        <f t="shared" si="0"/>
        <v>6000</v>
      </c>
      <c r="D23" s="1">
        <f t="shared" ca="1" si="1"/>
        <v>2496</v>
      </c>
      <c r="E23" s="1">
        <f t="shared" ca="1" si="2"/>
        <v>8496</v>
      </c>
      <c r="F23" s="1"/>
    </row>
    <row r="24" spans="1:6" x14ac:dyDescent="0.25">
      <c r="A24" s="1" t="s">
        <v>31</v>
      </c>
      <c r="B24" s="1" t="s">
        <v>5</v>
      </c>
      <c r="C24" s="1">
        <f t="shared" si="0"/>
        <v>6600</v>
      </c>
      <c r="D24" s="1">
        <f t="shared" ca="1" si="1"/>
        <v>3912</v>
      </c>
      <c r="E24" s="1">
        <f t="shared" ca="1" si="2"/>
        <v>10512</v>
      </c>
      <c r="F24" s="1"/>
    </row>
    <row r="25" spans="1:6" x14ac:dyDescent="0.25">
      <c r="A25" s="1" t="s">
        <v>32</v>
      </c>
      <c r="B25" s="1" t="s">
        <v>6</v>
      </c>
      <c r="C25" s="1">
        <f t="shared" si="0"/>
        <v>5000</v>
      </c>
      <c r="D25" s="1">
        <f t="shared" ca="1" si="1"/>
        <v>3319</v>
      </c>
      <c r="E25" s="1">
        <f t="shared" ca="1" si="2"/>
        <v>8319</v>
      </c>
      <c r="F25" s="1"/>
    </row>
    <row r="26" spans="1:6" x14ac:dyDescent="0.25">
      <c r="A26" s="1" t="s">
        <v>33</v>
      </c>
      <c r="B26" s="1" t="s">
        <v>5</v>
      </c>
      <c r="C26" s="1">
        <f t="shared" si="0"/>
        <v>6600</v>
      </c>
      <c r="D26" s="1">
        <f t="shared" ca="1" si="1"/>
        <v>2481</v>
      </c>
      <c r="E26" s="1">
        <f t="shared" ca="1" si="2"/>
        <v>9081</v>
      </c>
      <c r="F26" s="1"/>
    </row>
    <row r="27" spans="1:6" x14ac:dyDescent="0.25">
      <c r="A27" s="1" t="s">
        <v>34</v>
      </c>
      <c r="B27" s="1" t="s">
        <v>6</v>
      </c>
      <c r="C27" s="1">
        <f t="shared" si="0"/>
        <v>5000</v>
      </c>
      <c r="D27" s="1">
        <f t="shared" ca="1" si="1"/>
        <v>4359</v>
      </c>
      <c r="E27" s="1">
        <f t="shared" ca="1" si="2"/>
        <v>9359</v>
      </c>
      <c r="F27" s="1"/>
    </row>
    <row r="28" spans="1:6" x14ac:dyDescent="0.25">
      <c r="A28" s="1" t="s">
        <v>35</v>
      </c>
      <c r="B28" s="1" t="s">
        <v>8</v>
      </c>
      <c r="C28" s="1">
        <f t="shared" si="0"/>
        <v>6000</v>
      </c>
      <c r="D28" s="1">
        <f t="shared" ca="1" si="1"/>
        <v>5559</v>
      </c>
      <c r="E28" s="1">
        <f t="shared" ca="1" si="2"/>
        <v>11559</v>
      </c>
      <c r="F28" s="1"/>
    </row>
    <row r="29" spans="1:6" x14ac:dyDescent="0.25">
      <c r="A29" s="1" t="s">
        <v>36</v>
      </c>
      <c r="B29" s="1" t="s">
        <v>7</v>
      </c>
      <c r="C29" s="1">
        <f t="shared" si="0"/>
        <v>5400</v>
      </c>
      <c r="D29" s="1">
        <f t="shared" ca="1" si="1"/>
        <v>6647</v>
      </c>
      <c r="E29" s="1">
        <f t="shared" ca="1" si="2"/>
        <v>12047</v>
      </c>
      <c r="F29" s="1"/>
    </row>
    <row r="30" spans="1:6" x14ac:dyDescent="0.25">
      <c r="A30" s="1" t="s">
        <v>37</v>
      </c>
      <c r="B30" s="1" t="s">
        <v>9</v>
      </c>
      <c r="C30" s="1">
        <f t="shared" si="0"/>
        <v>5000</v>
      </c>
      <c r="D30" s="1">
        <f t="shared" ca="1" si="1"/>
        <v>6665</v>
      </c>
      <c r="E30" s="1">
        <f t="shared" ca="1" si="2"/>
        <v>11665</v>
      </c>
      <c r="F30" s="1"/>
    </row>
    <row r="31" spans="1:6" x14ac:dyDescent="0.25">
      <c r="A31" s="1" t="s">
        <v>38</v>
      </c>
      <c r="B31" s="1" t="s">
        <v>9</v>
      </c>
      <c r="C31" s="1">
        <f t="shared" si="0"/>
        <v>5000</v>
      </c>
      <c r="D31" s="1">
        <f t="shared" ca="1" si="1"/>
        <v>6546</v>
      </c>
      <c r="E31" s="1">
        <f t="shared" ca="1" si="2"/>
        <v>11546</v>
      </c>
      <c r="F31" s="1"/>
    </row>
    <row r="32" spans="1:6" x14ac:dyDescent="0.25">
      <c r="A32" s="1"/>
      <c r="B32" s="1"/>
      <c r="C32" s="1" t="e">
        <f t="shared" si="0"/>
        <v>#N/A</v>
      </c>
      <c r="D32" s="1">
        <f t="shared" ca="1" si="1"/>
        <v>2271</v>
      </c>
      <c r="E32" s="1"/>
      <c r="F3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E2D0C-AD81-44BF-9743-E6DD96FF7CB9}">
  <dimension ref="A1:K31"/>
  <sheetViews>
    <sheetView workbookViewId="0">
      <selection activeCell="J2" sqref="J2:K8"/>
    </sheetView>
  </sheetViews>
  <sheetFormatPr defaultRowHeight="13.8" x14ac:dyDescent="0.25"/>
  <cols>
    <col min="1" max="1" width="31.3984375" customWidth="1"/>
    <col min="2" max="2" width="12.69921875" customWidth="1"/>
    <col min="3" max="3" width="10.59765625" customWidth="1"/>
    <col min="4" max="4" width="10.8984375" customWidth="1"/>
    <col min="5" max="5" width="16.296875" customWidth="1"/>
    <col min="10" max="10" width="16.0976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 x14ac:dyDescent="0.25">
      <c r="A2" s="1" t="s">
        <v>40</v>
      </c>
      <c r="B2" s="2" t="s">
        <v>9</v>
      </c>
      <c r="C2" s="1">
        <f>VLOOKUP(B2,$J$2:$K$7,2,0)</f>
        <v>5200</v>
      </c>
      <c r="D2" s="1">
        <f ca="1">RANDBETWEEN(2000,5000)</f>
        <v>4896</v>
      </c>
      <c r="E2" s="2">
        <f ca="1">C2+D2</f>
        <v>10096</v>
      </c>
      <c r="J2" s="1" t="s">
        <v>1</v>
      </c>
      <c r="K2" s="1" t="s">
        <v>2</v>
      </c>
    </row>
    <row r="3" spans="1:11" x14ac:dyDescent="0.25">
      <c r="A3" s="1" t="s">
        <v>10</v>
      </c>
      <c r="B3" s="1" t="s">
        <v>6</v>
      </c>
      <c r="C3" s="1">
        <f t="shared" ref="C3:C31" si="0">VLOOKUP(B3,$J$2:$K$7,2,0)</f>
        <v>5400</v>
      </c>
      <c r="D3" s="1">
        <f t="shared" ref="D3:D31" ca="1" si="1">RANDBETWEEN(2000,5000)</f>
        <v>2555</v>
      </c>
      <c r="E3" s="2">
        <f t="shared" ref="E3:E31" ca="1" si="2">C3+D3</f>
        <v>7955</v>
      </c>
      <c r="J3" s="1" t="s">
        <v>5</v>
      </c>
      <c r="K3" s="1">
        <v>6500</v>
      </c>
    </row>
    <row r="4" spans="1:11" x14ac:dyDescent="0.25">
      <c r="A4" s="1" t="s">
        <v>11</v>
      </c>
      <c r="B4" s="1" t="s">
        <v>8</v>
      </c>
      <c r="C4" s="1">
        <f t="shared" si="0"/>
        <v>5900</v>
      </c>
      <c r="D4" s="1">
        <f t="shared" ca="1" si="1"/>
        <v>3515</v>
      </c>
      <c r="E4" s="2">
        <f t="shared" ca="1" si="2"/>
        <v>9415</v>
      </c>
      <c r="J4" s="1" t="s">
        <v>6</v>
      </c>
      <c r="K4" s="1">
        <v>5400</v>
      </c>
    </row>
    <row r="5" spans="1:11" x14ac:dyDescent="0.25">
      <c r="A5" s="1" t="s">
        <v>12</v>
      </c>
      <c r="B5" s="1" t="s">
        <v>9</v>
      </c>
      <c r="C5" s="1">
        <f t="shared" si="0"/>
        <v>5200</v>
      </c>
      <c r="D5" s="1">
        <f t="shared" ca="1" si="1"/>
        <v>4389</v>
      </c>
      <c r="E5" s="2">
        <f t="shared" ca="1" si="2"/>
        <v>9589</v>
      </c>
      <c r="J5" s="2" t="s">
        <v>7</v>
      </c>
      <c r="K5" s="1">
        <v>5500</v>
      </c>
    </row>
    <row r="6" spans="1:11" ht="13.5" customHeight="1" x14ac:dyDescent="0.25">
      <c r="A6" s="1" t="s">
        <v>13</v>
      </c>
      <c r="B6" s="1" t="s">
        <v>5</v>
      </c>
      <c r="C6" s="1">
        <f t="shared" si="0"/>
        <v>6500</v>
      </c>
      <c r="D6" s="1">
        <f t="shared" ca="1" si="1"/>
        <v>4739</v>
      </c>
      <c r="E6" s="2">
        <f t="shared" ca="1" si="2"/>
        <v>11239</v>
      </c>
      <c r="J6" s="2" t="s">
        <v>8</v>
      </c>
      <c r="K6" s="1">
        <v>5900</v>
      </c>
    </row>
    <row r="7" spans="1:11" x14ac:dyDescent="0.25">
      <c r="A7" s="1" t="s">
        <v>14</v>
      </c>
      <c r="B7" s="1" t="s">
        <v>6</v>
      </c>
      <c r="C7" s="1">
        <f t="shared" si="0"/>
        <v>5400</v>
      </c>
      <c r="D7" s="1">
        <f t="shared" ca="1" si="1"/>
        <v>2735</v>
      </c>
      <c r="E7" s="2">
        <f t="shared" ca="1" si="2"/>
        <v>8135</v>
      </c>
      <c r="J7" s="1" t="s">
        <v>9</v>
      </c>
      <c r="K7" s="1">
        <v>5200</v>
      </c>
    </row>
    <row r="8" spans="1:11" x14ac:dyDescent="0.25">
      <c r="A8" s="1" t="s">
        <v>15</v>
      </c>
      <c r="B8" s="1" t="s">
        <v>5</v>
      </c>
      <c r="C8" s="1">
        <f t="shared" si="0"/>
        <v>6500</v>
      </c>
      <c r="D8" s="1">
        <f t="shared" ca="1" si="1"/>
        <v>3069</v>
      </c>
      <c r="E8" s="2">
        <f t="shared" ca="1" si="2"/>
        <v>9569</v>
      </c>
    </row>
    <row r="9" spans="1:11" x14ac:dyDescent="0.25">
      <c r="A9" s="1" t="s">
        <v>16</v>
      </c>
      <c r="B9" s="1" t="s">
        <v>9</v>
      </c>
      <c r="C9" s="1">
        <f t="shared" si="0"/>
        <v>5200</v>
      </c>
      <c r="D9" s="1">
        <f t="shared" ca="1" si="1"/>
        <v>3408</v>
      </c>
      <c r="E9" s="2">
        <f t="shared" ca="1" si="2"/>
        <v>8608</v>
      </c>
    </row>
    <row r="10" spans="1:11" x14ac:dyDescent="0.25">
      <c r="A10" s="1" t="s">
        <v>17</v>
      </c>
      <c r="B10" s="1" t="s">
        <v>7</v>
      </c>
      <c r="C10" s="1">
        <f t="shared" si="0"/>
        <v>5500</v>
      </c>
      <c r="D10" s="1">
        <f t="shared" ca="1" si="1"/>
        <v>4608</v>
      </c>
      <c r="E10" s="2">
        <f t="shared" ca="1" si="2"/>
        <v>10108</v>
      </c>
    </row>
    <row r="11" spans="1:11" x14ac:dyDescent="0.25">
      <c r="A11" s="1" t="s">
        <v>18</v>
      </c>
      <c r="B11" s="1" t="s">
        <v>8</v>
      </c>
      <c r="C11" s="1">
        <f t="shared" si="0"/>
        <v>5900</v>
      </c>
      <c r="D11" s="1">
        <f t="shared" ca="1" si="1"/>
        <v>3867</v>
      </c>
      <c r="E11" s="2">
        <f t="shared" ca="1" si="2"/>
        <v>9767</v>
      </c>
    </row>
    <row r="12" spans="1:11" x14ac:dyDescent="0.25">
      <c r="A12" s="1" t="s">
        <v>19</v>
      </c>
      <c r="B12" s="1" t="s">
        <v>5</v>
      </c>
      <c r="C12" s="1">
        <f t="shared" si="0"/>
        <v>6500</v>
      </c>
      <c r="D12" s="1">
        <f t="shared" ca="1" si="1"/>
        <v>3692</v>
      </c>
      <c r="E12" s="2">
        <f t="shared" ca="1" si="2"/>
        <v>10192</v>
      </c>
    </row>
    <row r="13" spans="1:11" x14ac:dyDescent="0.25">
      <c r="A13" s="1" t="s">
        <v>20</v>
      </c>
      <c r="B13" s="1" t="s">
        <v>9</v>
      </c>
      <c r="C13" s="1">
        <f t="shared" si="0"/>
        <v>5200</v>
      </c>
      <c r="D13" s="1">
        <f t="shared" ca="1" si="1"/>
        <v>3102</v>
      </c>
      <c r="E13" s="2">
        <f t="shared" ca="1" si="2"/>
        <v>8302</v>
      </c>
    </row>
    <row r="14" spans="1:11" x14ac:dyDescent="0.25">
      <c r="A14" s="1" t="s">
        <v>21</v>
      </c>
      <c r="B14" s="1" t="s">
        <v>5</v>
      </c>
      <c r="C14" s="1">
        <f t="shared" si="0"/>
        <v>6500</v>
      </c>
      <c r="D14" s="1">
        <f t="shared" ca="1" si="1"/>
        <v>4250</v>
      </c>
      <c r="E14" s="2">
        <f t="shared" ca="1" si="2"/>
        <v>10750</v>
      </c>
    </row>
    <row r="15" spans="1:11" x14ac:dyDescent="0.25">
      <c r="A15" s="1" t="s">
        <v>22</v>
      </c>
      <c r="B15" s="1" t="s">
        <v>7</v>
      </c>
      <c r="C15" s="1">
        <f t="shared" si="0"/>
        <v>5500</v>
      </c>
      <c r="D15" s="1">
        <f t="shared" ca="1" si="1"/>
        <v>3887</v>
      </c>
      <c r="E15" s="2">
        <f t="shared" ca="1" si="2"/>
        <v>9387</v>
      </c>
    </row>
    <row r="16" spans="1:11" x14ac:dyDescent="0.25">
      <c r="A16" s="1" t="s">
        <v>23</v>
      </c>
      <c r="B16" s="1" t="s">
        <v>8</v>
      </c>
      <c r="C16" s="1">
        <f t="shared" si="0"/>
        <v>5900</v>
      </c>
      <c r="D16" s="1">
        <f t="shared" ca="1" si="1"/>
        <v>4796</v>
      </c>
      <c r="E16" s="2">
        <f t="shared" ca="1" si="2"/>
        <v>10696</v>
      </c>
    </row>
    <row r="17" spans="1:5" x14ac:dyDescent="0.25">
      <c r="A17" s="1" t="s">
        <v>24</v>
      </c>
      <c r="B17" s="1" t="s">
        <v>6</v>
      </c>
      <c r="C17" s="1">
        <f t="shared" si="0"/>
        <v>5400</v>
      </c>
      <c r="D17" s="1">
        <f t="shared" ca="1" si="1"/>
        <v>2904</v>
      </c>
      <c r="E17" s="2">
        <f t="shared" ca="1" si="2"/>
        <v>8304</v>
      </c>
    </row>
    <row r="18" spans="1:5" x14ac:dyDescent="0.25">
      <c r="A18" s="1" t="s">
        <v>25</v>
      </c>
      <c r="B18" s="1" t="s">
        <v>7</v>
      </c>
      <c r="C18" s="1">
        <f t="shared" si="0"/>
        <v>5500</v>
      </c>
      <c r="D18" s="1">
        <f t="shared" ca="1" si="1"/>
        <v>3690</v>
      </c>
      <c r="E18" s="2">
        <f t="shared" ca="1" si="2"/>
        <v>9190</v>
      </c>
    </row>
    <row r="19" spans="1:5" x14ac:dyDescent="0.25">
      <c r="A19" s="1" t="s">
        <v>26</v>
      </c>
      <c r="B19" s="1" t="s">
        <v>7</v>
      </c>
      <c r="C19" s="1">
        <f t="shared" si="0"/>
        <v>5500</v>
      </c>
      <c r="D19" s="1">
        <f t="shared" ca="1" si="1"/>
        <v>3493</v>
      </c>
      <c r="E19" s="2">
        <f t="shared" ca="1" si="2"/>
        <v>8993</v>
      </c>
    </row>
    <row r="20" spans="1:5" x14ac:dyDescent="0.25">
      <c r="A20" s="1" t="s">
        <v>27</v>
      </c>
      <c r="B20" s="1" t="s">
        <v>7</v>
      </c>
      <c r="C20" s="1">
        <f t="shared" si="0"/>
        <v>5500</v>
      </c>
      <c r="D20" s="1">
        <f t="shared" ca="1" si="1"/>
        <v>2042</v>
      </c>
      <c r="E20" s="2">
        <f t="shared" ca="1" si="2"/>
        <v>7542</v>
      </c>
    </row>
    <row r="21" spans="1:5" x14ac:dyDescent="0.25">
      <c r="A21" s="1" t="s">
        <v>28</v>
      </c>
      <c r="B21" s="1" t="s">
        <v>6</v>
      </c>
      <c r="C21" s="1">
        <f t="shared" si="0"/>
        <v>5400</v>
      </c>
      <c r="D21" s="1">
        <f t="shared" ca="1" si="1"/>
        <v>3579</v>
      </c>
      <c r="E21" s="2">
        <f t="shared" ca="1" si="2"/>
        <v>8979</v>
      </c>
    </row>
    <row r="22" spans="1:5" x14ac:dyDescent="0.25">
      <c r="A22" s="1" t="s">
        <v>29</v>
      </c>
      <c r="B22" s="1" t="s">
        <v>7</v>
      </c>
      <c r="C22" s="1">
        <f t="shared" si="0"/>
        <v>5500</v>
      </c>
      <c r="D22" s="1">
        <f t="shared" ca="1" si="1"/>
        <v>3126</v>
      </c>
      <c r="E22" s="2">
        <f t="shared" ca="1" si="2"/>
        <v>8626</v>
      </c>
    </row>
    <row r="23" spans="1:5" x14ac:dyDescent="0.25">
      <c r="A23" s="1" t="s">
        <v>30</v>
      </c>
      <c r="B23" s="1" t="s">
        <v>8</v>
      </c>
      <c r="C23" s="1">
        <f t="shared" si="0"/>
        <v>5900</v>
      </c>
      <c r="D23" s="1">
        <f t="shared" ca="1" si="1"/>
        <v>2156</v>
      </c>
      <c r="E23" s="2">
        <f t="shared" ca="1" si="2"/>
        <v>8056</v>
      </c>
    </row>
    <row r="24" spans="1:5" x14ac:dyDescent="0.25">
      <c r="A24" s="1" t="s">
        <v>31</v>
      </c>
      <c r="B24" s="1" t="s">
        <v>5</v>
      </c>
      <c r="C24" s="1">
        <f t="shared" si="0"/>
        <v>6500</v>
      </c>
      <c r="D24" s="1">
        <f t="shared" ca="1" si="1"/>
        <v>4716</v>
      </c>
      <c r="E24" s="2">
        <f t="shared" ca="1" si="2"/>
        <v>11216</v>
      </c>
    </row>
    <row r="25" spans="1:5" x14ac:dyDescent="0.25">
      <c r="A25" s="1" t="s">
        <v>32</v>
      </c>
      <c r="B25" s="1" t="s">
        <v>6</v>
      </c>
      <c r="C25" s="1">
        <f t="shared" si="0"/>
        <v>5400</v>
      </c>
      <c r="D25" s="1">
        <f t="shared" ca="1" si="1"/>
        <v>3233</v>
      </c>
      <c r="E25" s="2">
        <f t="shared" ca="1" si="2"/>
        <v>8633</v>
      </c>
    </row>
    <row r="26" spans="1:5" x14ac:dyDescent="0.25">
      <c r="A26" s="1" t="s">
        <v>33</v>
      </c>
      <c r="B26" s="1" t="s">
        <v>5</v>
      </c>
      <c r="C26" s="1">
        <f t="shared" si="0"/>
        <v>6500</v>
      </c>
      <c r="D26" s="1">
        <f t="shared" ca="1" si="1"/>
        <v>2255</v>
      </c>
      <c r="E26" s="2">
        <f t="shared" ca="1" si="2"/>
        <v>8755</v>
      </c>
    </row>
    <row r="27" spans="1:5" x14ac:dyDescent="0.25">
      <c r="A27" s="1" t="s">
        <v>34</v>
      </c>
      <c r="B27" s="1" t="s">
        <v>6</v>
      </c>
      <c r="C27" s="1">
        <f t="shared" si="0"/>
        <v>5400</v>
      </c>
      <c r="D27" s="1">
        <f t="shared" ca="1" si="1"/>
        <v>2120</v>
      </c>
      <c r="E27" s="2">
        <f t="shared" ca="1" si="2"/>
        <v>7520</v>
      </c>
    </row>
    <row r="28" spans="1:5" x14ac:dyDescent="0.25">
      <c r="A28" s="1" t="s">
        <v>35</v>
      </c>
      <c r="B28" s="1" t="s">
        <v>8</v>
      </c>
      <c r="C28" s="1">
        <f t="shared" si="0"/>
        <v>5900</v>
      </c>
      <c r="D28" s="1">
        <f t="shared" ca="1" si="1"/>
        <v>3572</v>
      </c>
      <c r="E28" s="2">
        <f t="shared" ca="1" si="2"/>
        <v>9472</v>
      </c>
    </row>
    <row r="29" spans="1:5" x14ac:dyDescent="0.25">
      <c r="A29" s="1" t="s">
        <v>36</v>
      </c>
      <c r="B29" s="1" t="s">
        <v>7</v>
      </c>
      <c r="C29" s="1">
        <f t="shared" si="0"/>
        <v>5500</v>
      </c>
      <c r="D29" s="1">
        <f t="shared" ca="1" si="1"/>
        <v>2031</v>
      </c>
      <c r="E29" s="2">
        <f t="shared" ca="1" si="2"/>
        <v>7531</v>
      </c>
    </row>
    <row r="30" spans="1:5" x14ac:dyDescent="0.25">
      <c r="A30" s="1" t="s">
        <v>37</v>
      </c>
      <c r="B30" s="1" t="s">
        <v>9</v>
      </c>
      <c r="C30" s="1">
        <f t="shared" si="0"/>
        <v>5200</v>
      </c>
      <c r="D30" s="1">
        <f t="shared" ca="1" si="1"/>
        <v>3251</v>
      </c>
      <c r="E30" s="2">
        <f t="shared" ca="1" si="2"/>
        <v>8451</v>
      </c>
    </row>
    <row r="31" spans="1:5" x14ac:dyDescent="0.25">
      <c r="A31" s="1" t="s">
        <v>38</v>
      </c>
      <c r="B31" s="1" t="s">
        <v>9</v>
      </c>
      <c r="C31" s="1">
        <f t="shared" si="0"/>
        <v>5200</v>
      </c>
      <c r="D31" s="1">
        <f t="shared" ca="1" si="1"/>
        <v>3244</v>
      </c>
      <c r="E31" s="2">
        <f t="shared" ca="1" si="2"/>
        <v>8444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FAA2C-43A3-48E2-81DD-EE70FE19E788}">
  <dimension ref="A1:J31"/>
  <sheetViews>
    <sheetView workbookViewId="0">
      <selection activeCell="I3" sqref="I3:J8"/>
    </sheetView>
  </sheetViews>
  <sheetFormatPr defaultRowHeight="13.8" x14ac:dyDescent="0.25"/>
  <cols>
    <col min="1" max="1" width="30.69921875" customWidth="1"/>
    <col min="2" max="2" width="16.59765625" customWidth="1"/>
    <col min="3" max="3" width="11.59765625" customWidth="1"/>
    <col min="4" max="4" width="12.8984375" customWidth="1"/>
    <col min="5" max="5" width="16.8984375" customWidth="1"/>
    <col min="9" max="9" width="12.69921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 x14ac:dyDescent="0.25">
      <c r="A2" s="1" t="s">
        <v>40</v>
      </c>
      <c r="B2" s="2" t="s">
        <v>9</v>
      </c>
      <c r="C2" s="1">
        <f>VLOOKUP(B2,$I$3:$J$8,2,0)</f>
        <v>5400</v>
      </c>
      <c r="D2" s="1">
        <f ca="1">RANDBETWEEN(1000,7000)</f>
        <v>4309</v>
      </c>
      <c r="E2" s="2">
        <f ca="1">C2+D2</f>
        <v>9709</v>
      </c>
    </row>
    <row r="3" spans="1:10" x14ac:dyDescent="0.25">
      <c r="A3" s="1" t="s">
        <v>10</v>
      </c>
      <c r="B3" s="1" t="s">
        <v>6</v>
      </c>
      <c r="C3" s="1">
        <f t="shared" ref="C3:C31" si="0">VLOOKUP(B3,$I$3:$J$8,2,0)</f>
        <v>5550</v>
      </c>
      <c r="D3" s="1">
        <f t="shared" ref="D3:D31" ca="1" si="1">RANDBETWEEN(1000,7000)</f>
        <v>1734</v>
      </c>
      <c r="E3" s="2">
        <f t="shared" ref="E3:E31" ca="1" si="2">C3+D3</f>
        <v>7284</v>
      </c>
      <c r="I3" s="2" t="s">
        <v>1</v>
      </c>
      <c r="J3" s="1" t="s">
        <v>2</v>
      </c>
    </row>
    <row r="4" spans="1:10" x14ac:dyDescent="0.25">
      <c r="A4" s="1" t="s">
        <v>11</v>
      </c>
      <c r="B4" s="1" t="s">
        <v>8</v>
      </c>
      <c r="C4" s="1">
        <f t="shared" si="0"/>
        <v>5900</v>
      </c>
      <c r="D4" s="1">
        <f t="shared" ca="1" si="1"/>
        <v>5240</v>
      </c>
      <c r="E4" s="2">
        <f t="shared" ca="1" si="2"/>
        <v>11140</v>
      </c>
      <c r="I4" s="1" t="s">
        <v>5</v>
      </c>
      <c r="J4" s="1">
        <v>6400</v>
      </c>
    </row>
    <row r="5" spans="1:10" x14ac:dyDescent="0.25">
      <c r="A5" s="1" t="s">
        <v>12</v>
      </c>
      <c r="B5" s="1" t="s">
        <v>9</v>
      </c>
      <c r="C5" s="1">
        <f t="shared" si="0"/>
        <v>5400</v>
      </c>
      <c r="D5" s="1">
        <f t="shared" ca="1" si="1"/>
        <v>2601</v>
      </c>
      <c r="E5" s="2">
        <f t="shared" ca="1" si="2"/>
        <v>8001</v>
      </c>
      <c r="I5" s="1" t="s">
        <v>6</v>
      </c>
      <c r="J5" s="1">
        <v>5550</v>
      </c>
    </row>
    <row r="6" spans="1:10" x14ac:dyDescent="0.25">
      <c r="A6" s="1" t="s">
        <v>13</v>
      </c>
      <c r="B6" s="1" t="s">
        <v>5</v>
      </c>
      <c r="C6" s="1">
        <f t="shared" si="0"/>
        <v>6400</v>
      </c>
      <c r="D6" s="1">
        <f t="shared" ca="1" si="1"/>
        <v>4923</v>
      </c>
      <c r="E6" s="2">
        <f t="shared" ca="1" si="2"/>
        <v>11323</v>
      </c>
      <c r="I6" s="1" t="s">
        <v>7</v>
      </c>
      <c r="J6" s="1">
        <v>5950</v>
      </c>
    </row>
    <row r="7" spans="1:10" x14ac:dyDescent="0.25">
      <c r="A7" s="1" t="s">
        <v>14</v>
      </c>
      <c r="B7" s="1" t="s">
        <v>6</v>
      </c>
      <c r="C7" s="1">
        <f t="shared" si="0"/>
        <v>5550</v>
      </c>
      <c r="D7" s="1">
        <f t="shared" ca="1" si="1"/>
        <v>2283</v>
      </c>
      <c r="E7" s="2">
        <f t="shared" ca="1" si="2"/>
        <v>7833</v>
      </c>
      <c r="I7" s="1" t="s">
        <v>8</v>
      </c>
      <c r="J7" s="1">
        <v>5900</v>
      </c>
    </row>
    <row r="8" spans="1:10" x14ac:dyDescent="0.25">
      <c r="A8" s="1" t="s">
        <v>15</v>
      </c>
      <c r="B8" s="1" t="s">
        <v>5</v>
      </c>
      <c r="C8" s="1">
        <f t="shared" si="0"/>
        <v>6400</v>
      </c>
      <c r="D8" s="1">
        <f t="shared" ca="1" si="1"/>
        <v>2439</v>
      </c>
      <c r="E8" s="2">
        <f t="shared" ca="1" si="2"/>
        <v>8839</v>
      </c>
      <c r="I8" s="1" t="s">
        <v>9</v>
      </c>
      <c r="J8" s="1">
        <v>5400</v>
      </c>
    </row>
    <row r="9" spans="1:10" x14ac:dyDescent="0.25">
      <c r="A9" s="1" t="s">
        <v>16</v>
      </c>
      <c r="B9" s="1" t="s">
        <v>9</v>
      </c>
      <c r="C9" s="1">
        <f t="shared" si="0"/>
        <v>5400</v>
      </c>
      <c r="D9" s="1">
        <f t="shared" ca="1" si="1"/>
        <v>6647</v>
      </c>
      <c r="E9" s="2">
        <f t="shared" ca="1" si="2"/>
        <v>12047</v>
      </c>
    </row>
    <row r="10" spans="1:10" x14ac:dyDescent="0.25">
      <c r="A10" s="1" t="s">
        <v>17</v>
      </c>
      <c r="B10" s="1" t="s">
        <v>7</v>
      </c>
      <c r="C10" s="1">
        <f t="shared" si="0"/>
        <v>5950</v>
      </c>
      <c r="D10" s="1">
        <f t="shared" ca="1" si="1"/>
        <v>5124</v>
      </c>
      <c r="E10" s="2">
        <f t="shared" ca="1" si="2"/>
        <v>11074</v>
      </c>
    </row>
    <row r="11" spans="1:10" x14ac:dyDescent="0.25">
      <c r="A11" s="1" t="s">
        <v>18</v>
      </c>
      <c r="B11" s="1" t="s">
        <v>8</v>
      </c>
      <c r="C11" s="1">
        <f t="shared" si="0"/>
        <v>5900</v>
      </c>
      <c r="D11" s="1">
        <f t="shared" ca="1" si="1"/>
        <v>4901</v>
      </c>
      <c r="E11" s="2">
        <f t="shared" ca="1" si="2"/>
        <v>10801</v>
      </c>
    </row>
    <row r="12" spans="1:10" x14ac:dyDescent="0.25">
      <c r="A12" s="1" t="s">
        <v>19</v>
      </c>
      <c r="B12" s="1" t="s">
        <v>5</v>
      </c>
      <c r="C12" s="1">
        <f t="shared" si="0"/>
        <v>6400</v>
      </c>
      <c r="D12" s="1">
        <f t="shared" ca="1" si="1"/>
        <v>6653</v>
      </c>
      <c r="E12" s="2">
        <f t="shared" ca="1" si="2"/>
        <v>13053</v>
      </c>
    </row>
    <row r="13" spans="1:10" x14ac:dyDescent="0.25">
      <c r="A13" s="1" t="s">
        <v>20</v>
      </c>
      <c r="B13" s="1" t="s">
        <v>9</v>
      </c>
      <c r="C13" s="1">
        <f t="shared" si="0"/>
        <v>5400</v>
      </c>
      <c r="D13" s="1">
        <f t="shared" ca="1" si="1"/>
        <v>4856</v>
      </c>
      <c r="E13" s="2">
        <f t="shared" ca="1" si="2"/>
        <v>10256</v>
      </c>
    </row>
    <row r="14" spans="1:10" x14ac:dyDescent="0.25">
      <c r="A14" s="1" t="s">
        <v>21</v>
      </c>
      <c r="B14" s="1" t="s">
        <v>5</v>
      </c>
      <c r="C14" s="1">
        <f t="shared" si="0"/>
        <v>6400</v>
      </c>
      <c r="D14" s="1">
        <f t="shared" ca="1" si="1"/>
        <v>5873</v>
      </c>
      <c r="E14" s="2">
        <f t="shared" ca="1" si="2"/>
        <v>12273</v>
      </c>
    </row>
    <row r="15" spans="1:10" x14ac:dyDescent="0.25">
      <c r="A15" s="1" t="s">
        <v>22</v>
      </c>
      <c r="B15" s="1" t="s">
        <v>7</v>
      </c>
      <c r="C15" s="1">
        <f t="shared" si="0"/>
        <v>5950</v>
      </c>
      <c r="D15" s="1">
        <f t="shared" ca="1" si="1"/>
        <v>5709</v>
      </c>
      <c r="E15" s="2">
        <f t="shared" ca="1" si="2"/>
        <v>11659</v>
      </c>
    </row>
    <row r="16" spans="1:10" x14ac:dyDescent="0.25">
      <c r="A16" s="1" t="s">
        <v>23</v>
      </c>
      <c r="B16" s="1" t="s">
        <v>8</v>
      </c>
      <c r="C16" s="1">
        <f t="shared" si="0"/>
        <v>5900</v>
      </c>
      <c r="D16" s="1">
        <f t="shared" ca="1" si="1"/>
        <v>1277</v>
      </c>
      <c r="E16" s="2">
        <f t="shared" ca="1" si="2"/>
        <v>7177</v>
      </c>
    </row>
    <row r="17" spans="1:5" x14ac:dyDescent="0.25">
      <c r="A17" s="1" t="s">
        <v>24</v>
      </c>
      <c r="B17" s="1" t="s">
        <v>6</v>
      </c>
      <c r="C17" s="1">
        <f t="shared" si="0"/>
        <v>5550</v>
      </c>
      <c r="D17" s="1">
        <f t="shared" ca="1" si="1"/>
        <v>5863</v>
      </c>
      <c r="E17" s="2">
        <f t="shared" ca="1" si="2"/>
        <v>11413</v>
      </c>
    </row>
    <row r="18" spans="1:5" x14ac:dyDescent="0.25">
      <c r="A18" s="1" t="s">
        <v>25</v>
      </c>
      <c r="B18" s="1" t="s">
        <v>7</v>
      </c>
      <c r="C18" s="1">
        <f t="shared" si="0"/>
        <v>5950</v>
      </c>
      <c r="D18" s="1">
        <f t="shared" ca="1" si="1"/>
        <v>3579</v>
      </c>
      <c r="E18" s="2">
        <f t="shared" ca="1" si="2"/>
        <v>9529</v>
      </c>
    </row>
    <row r="19" spans="1:5" x14ac:dyDescent="0.25">
      <c r="A19" s="1" t="s">
        <v>26</v>
      </c>
      <c r="B19" s="1" t="s">
        <v>7</v>
      </c>
      <c r="C19" s="1">
        <f t="shared" si="0"/>
        <v>5950</v>
      </c>
      <c r="D19" s="1">
        <f t="shared" ca="1" si="1"/>
        <v>3006</v>
      </c>
      <c r="E19" s="2">
        <f t="shared" ca="1" si="2"/>
        <v>8956</v>
      </c>
    </row>
    <row r="20" spans="1:5" x14ac:dyDescent="0.25">
      <c r="A20" s="1" t="s">
        <v>27</v>
      </c>
      <c r="B20" s="1" t="s">
        <v>7</v>
      </c>
      <c r="C20" s="1">
        <f t="shared" si="0"/>
        <v>5950</v>
      </c>
      <c r="D20" s="1">
        <f t="shared" ca="1" si="1"/>
        <v>5757</v>
      </c>
      <c r="E20" s="2">
        <f t="shared" ca="1" si="2"/>
        <v>11707</v>
      </c>
    </row>
    <row r="21" spans="1:5" x14ac:dyDescent="0.25">
      <c r="A21" s="1" t="s">
        <v>28</v>
      </c>
      <c r="B21" s="1" t="s">
        <v>6</v>
      </c>
      <c r="C21" s="1">
        <f t="shared" si="0"/>
        <v>5550</v>
      </c>
      <c r="D21" s="1">
        <f t="shared" ca="1" si="1"/>
        <v>5945</v>
      </c>
      <c r="E21" s="2">
        <f t="shared" ca="1" si="2"/>
        <v>11495</v>
      </c>
    </row>
    <row r="22" spans="1:5" x14ac:dyDescent="0.25">
      <c r="A22" s="1" t="s">
        <v>29</v>
      </c>
      <c r="B22" s="1" t="s">
        <v>7</v>
      </c>
      <c r="C22" s="1">
        <f t="shared" si="0"/>
        <v>5950</v>
      </c>
      <c r="D22" s="1">
        <f t="shared" ca="1" si="1"/>
        <v>6820</v>
      </c>
      <c r="E22" s="2">
        <f t="shared" ca="1" si="2"/>
        <v>12770</v>
      </c>
    </row>
    <row r="23" spans="1:5" x14ac:dyDescent="0.25">
      <c r="A23" s="1" t="s">
        <v>30</v>
      </c>
      <c r="B23" s="1" t="s">
        <v>8</v>
      </c>
      <c r="C23" s="1">
        <f t="shared" si="0"/>
        <v>5900</v>
      </c>
      <c r="D23" s="1">
        <f t="shared" ca="1" si="1"/>
        <v>1174</v>
      </c>
      <c r="E23" s="2">
        <f t="shared" ca="1" si="2"/>
        <v>7074</v>
      </c>
    </row>
    <row r="24" spans="1:5" x14ac:dyDescent="0.25">
      <c r="A24" s="1" t="s">
        <v>31</v>
      </c>
      <c r="B24" s="1" t="s">
        <v>5</v>
      </c>
      <c r="C24" s="1">
        <f t="shared" si="0"/>
        <v>6400</v>
      </c>
      <c r="D24" s="1">
        <f t="shared" ca="1" si="1"/>
        <v>4599</v>
      </c>
      <c r="E24" s="2">
        <f t="shared" ca="1" si="2"/>
        <v>10999</v>
      </c>
    </row>
    <row r="25" spans="1:5" x14ac:dyDescent="0.25">
      <c r="A25" s="1" t="s">
        <v>32</v>
      </c>
      <c r="B25" s="1" t="s">
        <v>6</v>
      </c>
      <c r="C25" s="1">
        <f t="shared" si="0"/>
        <v>5550</v>
      </c>
      <c r="D25" s="1">
        <f t="shared" ca="1" si="1"/>
        <v>3460</v>
      </c>
      <c r="E25" s="2">
        <f t="shared" ca="1" si="2"/>
        <v>9010</v>
      </c>
    </row>
    <row r="26" spans="1:5" x14ac:dyDescent="0.25">
      <c r="A26" s="1" t="s">
        <v>33</v>
      </c>
      <c r="B26" s="1" t="s">
        <v>5</v>
      </c>
      <c r="C26" s="1">
        <f t="shared" si="0"/>
        <v>6400</v>
      </c>
      <c r="D26" s="1">
        <f t="shared" ca="1" si="1"/>
        <v>1644</v>
      </c>
      <c r="E26" s="2">
        <f t="shared" ca="1" si="2"/>
        <v>8044</v>
      </c>
    </row>
    <row r="27" spans="1:5" x14ac:dyDescent="0.25">
      <c r="A27" s="1" t="s">
        <v>34</v>
      </c>
      <c r="B27" s="1" t="s">
        <v>6</v>
      </c>
      <c r="C27" s="1">
        <f t="shared" si="0"/>
        <v>5550</v>
      </c>
      <c r="D27" s="1">
        <f t="shared" ca="1" si="1"/>
        <v>6183</v>
      </c>
      <c r="E27" s="2">
        <f t="shared" ca="1" si="2"/>
        <v>11733</v>
      </c>
    </row>
    <row r="28" spans="1:5" x14ac:dyDescent="0.25">
      <c r="A28" s="1" t="s">
        <v>35</v>
      </c>
      <c r="B28" s="1" t="s">
        <v>8</v>
      </c>
      <c r="C28" s="1">
        <f t="shared" si="0"/>
        <v>5900</v>
      </c>
      <c r="D28" s="1">
        <f t="shared" ca="1" si="1"/>
        <v>2430</v>
      </c>
      <c r="E28" s="2">
        <f t="shared" ca="1" si="2"/>
        <v>8330</v>
      </c>
    </row>
    <row r="29" spans="1:5" x14ac:dyDescent="0.25">
      <c r="A29" s="1" t="s">
        <v>36</v>
      </c>
      <c r="B29" s="1" t="s">
        <v>7</v>
      </c>
      <c r="C29" s="1">
        <f t="shared" si="0"/>
        <v>5950</v>
      </c>
      <c r="D29" s="1">
        <f t="shared" ca="1" si="1"/>
        <v>6467</v>
      </c>
      <c r="E29" s="2">
        <f t="shared" ca="1" si="2"/>
        <v>12417</v>
      </c>
    </row>
    <row r="30" spans="1:5" x14ac:dyDescent="0.25">
      <c r="A30" s="1" t="s">
        <v>37</v>
      </c>
      <c r="B30" s="1" t="s">
        <v>9</v>
      </c>
      <c r="C30" s="1">
        <f t="shared" si="0"/>
        <v>5400</v>
      </c>
      <c r="D30" s="1">
        <f t="shared" ca="1" si="1"/>
        <v>5474</v>
      </c>
      <c r="E30" s="2">
        <f t="shared" ca="1" si="2"/>
        <v>10874</v>
      </c>
    </row>
    <row r="31" spans="1:5" x14ac:dyDescent="0.25">
      <c r="A31" s="1" t="s">
        <v>38</v>
      </c>
      <c r="B31" s="1" t="s">
        <v>9</v>
      </c>
      <c r="C31" s="1">
        <f t="shared" si="0"/>
        <v>5400</v>
      </c>
      <c r="D31" s="1">
        <f t="shared" ca="1" si="1"/>
        <v>5779</v>
      </c>
      <c r="E31" s="2">
        <f t="shared" ca="1" si="2"/>
        <v>11179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6ACE4-BED2-42DB-B127-32D561262AB4}">
  <dimension ref="A1:J31"/>
  <sheetViews>
    <sheetView workbookViewId="0">
      <selection activeCell="G6" sqref="G6"/>
    </sheetView>
  </sheetViews>
  <sheetFormatPr defaultRowHeight="13.8" x14ac:dyDescent="0.25"/>
  <cols>
    <col min="1" max="1" width="30.69921875" customWidth="1"/>
    <col min="2" max="2" width="16.59765625" customWidth="1"/>
    <col min="3" max="3" width="11.59765625" customWidth="1"/>
    <col min="4" max="4" width="12.8984375" customWidth="1"/>
    <col min="5" max="5" width="16.8984375" customWidth="1"/>
    <col min="9" max="9" width="12.69921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 x14ac:dyDescent="0.25">
      <c r="A2" s="1" t="s">
        <v>40</v>
      </c>
      <c r="B2" s="2" t="s">
        <v>9</v>
      </c>
      <c r="C2" s="1">
        <f>VLOOKUP(B2,$I$3:$J$8,2,0)</f>
        <v>5550</v>
      </c>
      <c r="D2" s="1">
        <f ca="1">RANDBETWEEN(1000,6000)</f>
        <v>3239</v>
      </c>
      <c r="E2" s="2">
        <f ca="1">C2+D2</f>
        <v>8789</v>
      </c>
    </row>
    <row r="3" spans="1:10" x14ac:dyDescent="0.25">
      <c r="A3" s="1" t="s">
        <v>10</v>
      </c>
      <c r="B3" s="1" t="s">
        <v>6</v>
      </c>
      <c r="C3" s="1">
        <f t="shared" ref="C3:C31" si="0">VLOOKUP(B3,$I$3:$J$8,2,0)</f>
        <v>5800</v>
      </c>
      <c r="D3" s="1">
        <f t="shared" ref="D3:D31" ca="1" si="1">RANDBETWEEN(1000,6000)</f>
        <v>5916</v>
      </c>
      <c r="E3" s="2">
        <f t="shared" ref="E3:E31" ca="1" si="2">C3+D3</f>
        <v>11716</v>
      </c>
      <c r="I3" s="2" t="s">
        <v>1</v>
      </c>
      <c r="J3" s="1" t="s">
        <v>2</v>
      </c>
    </row>
    <row r="4" spans="1:10" x14ac:dyDescent="0.25">
      <c r="A4" s="1" t="s">
        <v>11</v>
      </c>
      <c r="B4" s="1" t="s">
        <v>8</v>
      </c>
      <c r="C4" s="1">
        <f t="shared" si="0"/>
        <v>4900</v>
      </c>
      <c r="D4" s="1">
        <f t="shared" ca="1" si="1"/>
        <v>5186</v>
      </c>
      <c r="E4" s="2">
        <f t="shared" ca="1" si="2"/>
        <v>10086</v>
      </c>
      <c r="I4" s="1" t="s">
        <v>5</v>
      </c>
      <c r="J4" s="1">
        <v>5900</v>
      </c>
    </row>
    <row r="5" spans="1:10" x14ac:dyDescent="0.25">
      <c r="A5" s="1" t="s">
        <v>12</v>
      </c>
      <c r="B5" s="1" t="s">
        <v>9</v>
      </c>
      <c r="C5" s="1">
        <f t="shared" si="0"/>
        <v>5550</v>
      </c>
      <c r="D5" s="1">
        <f t="shared" ca="1" si="1"/>
        <v>4355</v>
      </c>
      <c r="E5" s="2">
        <f t="shared" ca="1" si="2"/>
        <v>9905</v>
      </c>
      <c r="I5" s="1" t="s">
        <v>6</v>
      </c>
      <c r="J5" s="1">
        <v>5800</v>
      </c>
    </row>
    <row r="6" spans="1:10" x14ac:dyDescent="0.25">
      <c r="A6" s="1" t="s">
        <v>13</v>
      </c>
      <c r="B6" s="1" t="s">
        <v>5</v>
      </c>
      <c r="C6" s="1">
        <f t="shared" si="0"/>
        <v>5900</v>
      </c>
      <c r="D6" s="1">
        <f t="shared" ca="1" si="1"/>
        <v>1654</v>
      </c>
      <c r="E6" s="2">
        <f t="shared" ca="1" si="2"/>
        <v>7554</v>
      </c>
      <c r="I6" s="1" t="s">
        <v>7</v>
      </c>
      <c r="J6" s="1">
        <v>6000</v>
      </c>
    </row>
    <row r="7" spans="1:10" x14ac:dyDescent="0.25">
      <c r="A7" s="1" t="s">
        <v>14</v>
      </c>
      <c r="B7" s="1" t="s">
        <v>6</v>
      </c>
      <c r="C7" s="1">
        <f t="shared" si="0"/>
        <v>5800</v>
      </c>
      <c r="D7" s="1">
        <f t="shared" ca="1" si="1"/>
        <v>5958</v>
      </c>
      <c r="E7" s="2">
        <f t="shared" ca="1" si="2"/>
        <v>11758</v>
      </c>
      <c r="I7" s="1" t="s">
        <v>8</v>
      </c>
      <c r="J7" s="1">
        <v>4900</v>
      </c>
    </row>
    <row r="8" spans="1:10" x14ac:dyDescent="0.25">
      <c r="A8" s="1" t="s">
        <v>15</v>
      </c>
      <c r="B8" s="1" t="s">
        <v>5</v>
      </c>
      <c r="C8" s="1">
        <f t="shared" si="0"/>
        <v>5900</v>
      </c>
      <c r="D8" s="1">
        <f t="shared" ca="1" si="1"/>
        <v>5739</v>
      </c>
      <c r="E8" s="2">
        <f t="shared" ca="1" si="2"/>
        <v>11639</v>
      </c>
      <c r="I8" s="1" t="s">
        <v>9</v>
      </c>
      <c r="J8" s="1">
        <v>5550</v>
      </c>
    </row>
    <row r="9" spans="1:10" x14ac:dyDescent="0.25">
      <c r="A9" s="1" t="s">
        <v>16</v>
      </c>
      <c r="B9" s="1" t="s">
        <v>9</v>
      </c>
      <c r="C9" s="1">
        <f t="shared" si="0"/>
        <v>5550</v>
      </c>
      <c r="D9" s="1">
        <f t="shared" ca="1" si="1"/>
        <v>5629</v>
      </c>
      <c r="E9" s="2">
        <f t="shared" ca="1" si="2"/>
        <v>11179</v>
      </c>
    </row>
    <row r="10" spans="1:10" x14ac:dyDescent="0.25">
      <c r="A10" s="1" t="s">
        <v>17</v>
      </c>
      <c r="B10" s="1" t="s">
        <v>7</v>
      </c>
      <c r="C10" s="1">
        <f t="shared" si="0"/>
        <v>6000</v>
      </c>
      <c r="D10" s="1">
        <f t="shared" ca="1" si="1"/>
        <v>4189</v>
      </c>
      <c r="E10" s="2">
        <f t="shared" ca="1" si="2"/>
        <v>10189</v>
      </c>
    </row>
    <row r="11" spans="1:10" x14ac:dyDescent="0.25">
      <c r="A11" s="1" t="s">
        <v>18</v>
      </c>
      <c r="B11" s="1" t="s">
        <v>8</v>
      </c>
      <c r="C11" s="1">
        <f t="shared" si="0"/>
        <v>4900</v>
      </c>
      <c r="D11" s="1">
        <f t="shared" ca="1" si="1"/>
        <v>2857</v>
      </c>
      <c r="E11" s="2">
        <f t="shared" ca="1" si="2"/>
        <v>7757</v>
      </c>
    </row>
    <row r="12" spans="1:10" x14ac:dyDescent="0.25">
      <c r="A12" s="1" t="s">
        <v>19</v>
      </c>
      <c r="B12" s="1" t="s">
        <v>5</v>
      </c>
      <c r="C12" s="1">
        <f t="shared" si="0"/>
        <v>5900</v>
      </c>
      <c r="D12" s="1">
        <f t="shared" ca="1" si="1"/>
        <v>5565</v>
      </c>
      <c r="E12" s="2">
        <f t="shared" ca="1" si="2"/>
        <v>11465</v>
      </c>
    </row>
    <row r="13" spans="1:10" x14ac:dyDescent="0.25">
      <c r="A13" s="1" t="s">
        <v>20</v>
      </c>
      <c r="B13" s="1" t="s">
        <v>9</v>
      </c>
      <c r="C13" s="1">
        <f t="shared" si="0"/>
        <v>5550</v>
      </c>
      <c r="D13" s="1">
        <f t="shared" ca="1" si="1"/>
        <v>4483</v>
      </c>
      <c r="E13" s="2">
        <f t="shared" ca="1" si="2"/>
        <v>10033</v>
      </c>
    </row>
    <row r="14" spans="1:10" x14ac:dyDescent="0.25">
      <c r="A14" s="1" t="s">
        <v>21</v>
      </c>
      <c r="B14" s="1" t="s">
        <v>5</v>
      </c>
      <c r="C14" s="1">
        <f t="shared" si="0"/>
        <v>5900</v>
      </c>
      <c r="D14" s="1">
        <f t="shared" ca="1" si="1"/>
        <v>1843</v>
      </c>
      <c r="E14" s="2">
        <f t="shared" ca="1" si="2"/>
        <v>7743</v>
      </c>
    </row>
    <row r="15" spans="1:10" x14ac:dyDescent="0.25">
      <c r="A15" s="1" t="s">
        <v>22</v>
      </c>
      <c r="B15" s="1" t="s">
        <v>7</v>
      </c>
      <c r="C15" s="1">
        <f t="shared" si="0"/>
        <v>6000</v>
      </c>
      <c r="D15" s="1">
        <f t="shared" ca="1" si="1"/>
        <v>3243</v>
      </c>
      <c r="E15" s="2">
        <f t="shared" ca="1" si="2"/>
        <v>9243</v>
      </c>
    </row>
    <row r="16" spans="1:10" x14ac:dyDescent="0.25">
      <c r="A16" s="1" t="s">
        <v>23</v>
      </c>
      <c r="B16" s="1" t="s">
        <v>8</v>
      </c>
      <c r="C16" s="1">
        <f t="shared" si="0"/>
        <v>4900</v>
      </c>
      <c r="D16" s="1">
        <f t="shared" ca="1" si="1"/>
        <v>1529</v>
      </c>
      <c r="E16" s="2">
        <f t="shared" ca="1" si="2"/>
        <v>6429</v>
      </c>
    </row>
    <row r="17" spans="1:5" x14ac:dyDescent="0.25">
      <c r="A17" s="1" t="s">
        <v>24</v>
      </c>
      <c r="B17" s="1" t="s">
        <v>6</v>
      </c>
      <c r="C17" s="1">
        <f t="shared" si="0"/>
        <v>5800</v>
      </c>
      <c r="D17" s="1">
        <f t="shared" ca="1" si="1"/>
        <v>5427</v>
      </c>
      <c r="E17" s="2">
        <f t="shared" ca="1" si="2"/>
        <v>11227</v>
      </c>
    </row>
    <row r="18" spans="1:5" x14ac:dyDescent="0.25">
      <c r="A18" s="1" t="s">
        <v>25</v>
      </c>
      <c r="B18" s="1" t="s">
        <v>7</v>
      </c>
      <c r="C18" s="1">
        <f t="shared" si="0"/>
        <v>6000</v>
      </c>
      <c r="D18" s="1">
        <f t="shared" ca="1" si="1"/>
        <v>5084</v>
      </c>
      <c r="E18" s="2">
        <f t="shared" ca="1" si="2"/>
        <v>11084</v>
      </c>
    </row>
    <row r="19" spans="1:5" x14ac:dyDescent="0.25">
      <c r="A19" s="1" t="s">
        <v>26</v>
      </c>
      <c r="B19" s="1" t="s">
        <v>7</v>
      </c>
      <c r="C19" s="1">
        <f t="shared" si="0"/>
        <v>6000</v>
      </c>
      <c r="D19" s="1">
        <f t="shared" ca="1" si="1"/>
        <v>4410</v>
      </c>
      <c r="E19" s="2">
        <f t="shared" ca="1" si="2"/>
        <v>10410</v>
      </c>
    </row>
    <row r="20" spans="1:5" x14ac:dyDescent="0.25">
      <c r="A20" s="1" t="s">
        <v>27</v>
      </c>
      <c r="B20" s="1" t="s">
        <v>7</v>
      </c>
      <c r="C20" s="1">
        <f t="shared" si="0"/>
        <v>6000</v>
      </c>
      <c r="D20" s="1">
        <f t="shared" ca="1" si="1"/>
        <v>1594</v>
      </c>
      <c r="E20" s="2">
        <f t="shared" ca="1" si="2"/>
        <v>7594</v>
      </c>
    </row>
    <row r="21" spans="1:5" x14ac:dyDescent="0.25">
      <c r="A21" s="1" t="s">
        <v>28</v>
      </c>
      <c r="B21" s="1" t="s">
        <v>6</v>
      </c>
      <c r="C21" s="1">
        <f t="shared" si="0"/>
        <v>5800</v>
      </c>
      <c r="D21" s="1">
        <f t="shared" ca="1" si="1"/>
        <v>1082</v>
      </c>
      <c r="E21" s="2">
        <f t="shared" ca="1" si="2"/>
        <v>6882</v>
      </c>
    </row>
    <row r="22" spans="1:5" x14ac:dyDescent="0.25">
      <c r="A22" s="1" t="s">
        <v>29</v>
      </c>
      <c r="B22" s="1" t="s">
        <v>7</v>
      </c>
      <c r="C22" s="1">
        <f t="shared" si="0"/>
        <v>6000</v>
      </c>
      <c r="D22" s="1">
        <f t="shared" ca="1" si="1"/>
        <v>4716</v>
      </c>
      <c r="E22" s="2">
        <f t="shared" ca="1" si="2"/>
        <v>10716</v>
      </c>
    </row>
    <row r="23" spans="1:5" x14ac:dyDescent="0.25">
      <c r="A23" s="1" t="s">
        <v>30</v>
      </c>
      <c r="B23" s="1" t="s">
        <v>8</v>
      </c>
      <c r="C23" s="1">
        <f t="shared" si="0"/>
        <v>4900</v>
      </c>
      <c r="D23" s="1">
        <f t="shared" ca="1" si="1"/>
        <v>5194</v>
      </c>
      <c r="E23" s="2">
        <f t="shared" ca="1" si="2"/>
        <v>10094</v>
      </c>
    </row>
    <row r="24" spans="1:5" x14ac:dyDescent="0.25">
      <c r="A24" s="1" t="s">
        <v>31</v>
      </c>
      <c r="B24" s="1" t="s">
        <v>5</v>
      </c>
      <c r="C24" s="1">
        <f t="shared" si="0"/>
        <v>5900</v>
      </c>
      <c r="D24" s="1">
        <f t="shared" ca="1" si="1"/>
        <v>5752</v>
      </c>
      <c r="E24" s="2">
        <f t="shared" ca="1" si="2"/>
        <v>11652</v>
      </c>
    </row>
    <row r="25" spans="1:5" x14ac:dyDescent="0.25">
      <c r="A25" s="1" t="s">
        <v>32</v>
      </c>
      <c r="B25" s="1" t="s">
        <v>6</v>
      </c>
      <c r="C25" s="1">
        <f t="shared" si="0"/>
        <v>5800</v>
      </c>
      <c r="D25" s="1">
        <f t="shared" ca="1" si="1"/>
        <v>4437</v>
      </c>
      <c r="E25" s="2">
        <f t="shared" ca="1" si="2"/>
        <v>10237</v>
      </c>
    </row>
    <row r="26" spans="1:5" x14ac:dyDescent="0.25">
      <c r="A26" s="1" t="s">
        <v>33</v>
      </c>
      <c r="B26" s="1" t="s">
        <v>5</v>
      </c>
      <c r="C26" s="1">
        <f t="shared" si="0"/>
        <v>5900</v>
      </c>
      <c r="D26" s="1">
        <f t="shared" ca="1" si="1"/>
        <v>5366</v>
      </c>
      <c r="E26" s="2">
        <f t="shared" ca="1" si="2"/>
        <v>11266</v>
      </c>
    </row>
    <row r="27" spans="1:5" x14ac:dyDescent="0.25">
      <c r="A27" s="1" t="s">
        <v>34</v>
      </c>
      <c r="B27" s="1" t="s">
        <v>6</v>
      </c>
      <c r="C27" s="1">
        <f t="shared" si="0"/>
        <v>5800</v>
      </c>
      <c r="D27" s="1">
        <f t="shared" ca="1" si="1"/>
        <v>5037</v>
      </c>
      <c r="E27" s="2">
        <f t="shared" ca="1" si="2"/>
        <v>10837</v>
      </c>
    </row>
    <row r="28" spans="1:5" x14ac:dyDescent="0.25">
      <c r="A28" s="1" t="s">
        <v>35</v>
      </c>
      <c r="B28" s="1" t="s">
        <v>8</v>
      </c>
      <c r="C28" s="1">
        <f t="shared" si="0"/>
        <v>4900</v>
      </c>
      <c r="D28" s="1">
        <f t="shared" ca="1" si="1"/>
        <v>1882</v>
      </c>
      <c r="E28" s="2">
        <f t="shared" ca="1" si="2"/>
        <v>6782</v>
      </c>
    </row>
    <row r="29" spans="1:5" x14ac:dyDescent="0.25">
      <c r="A29" s="1" t="s">
        <v>36</v>
      </c>
      <c r="B29" s="1" t="s">
        <v>7</v>
      </c>
      <c r="C29" s="1">
        <f t="shared" si="0"/>
        <v>6000</v>
      </c>
      <c r="D29" s="1">
        <f t="shared" ca="1" si="1"/>
        <v>5054</v>
      </c>
      <c r="E29" s="2">
        <f t="shared" ca="1" si="2"/>
        <v>11054</v>
      </c>
    </row>
    <row r="30" spans="1:5" x14ac:dyDescent="0.25">
      <c r="A30" s="1" t="s">
        <v>37</v>
      </c>
      <c r="B30" s="1" t="s">
        <v>9</v>
      </c>
      <c r="C30" s="1">
        <f t="shared" si="0"/>
        <v>5550</v>
      </c>
      <c r="D30" s="1">
        <f t="shared" ca="1" si="1"/>
        <v>3973</v>
      </c>
      <c r="E30" s="2">
        <f t="shared" ca="1" si="2"/>
        <v>9523</v>
      </c>
    </row>
    <row r="31" spans="1:5" x14ac:dyDescent="0.25">
      <c r="A31" s="1" t="s">
        <v>38</v>
      </c>
      <c r="B31" s="1" t="s">
        <v>9</v>
      </c>
      <c r="C31" s="1">
        <f t="shared" si="0"/>
        <v>5550</v>
      </c>
      <c r="D31" s="1">
        <f t="shared" ca="1" si="1"/>
        <v>3809</v>
      </c>
      <c r="E31" s="2">
        <f t="shared" ca="1" si="2"/>
        <v>9359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25A07-E69A-449F-ABED-BD8559EDC96C}">
  <dimension ref="A1:J31"/>
  <sheetViews>
    <sheetView workbookViewId="0">
      <selection activeCell="G25" sqref="G25"/>
    </sheetView>
  </sheetViews>
  <sheetFormatPr defaultRowHeight="13.8" x14ac:dyDescent="0.25"/>
  <cols>
    <col min="1" max="1" width="30.69921875" customWidth="1"/>
    <col min="2" max="2" width="16.59765625" customWidth="1"/>
    <col min="3" max="3" width="11.59765625" customWidth="1"/>
    <col min="4" max="4" width="12.8984375" customWidth="1"/>
    <col min="5" max="5" width="16.8984375" customWidth="1"/>
    <col min="9" max="9" width="12.69921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 x14ac:dyDescent="0.25">
      <c r="A2" s="1" t="s">
        <v>40</v>
      </c>
      <c r="B2" s="2" t="s">
        <v>9</v>
      </c>
      <c r="C2" s="1">
        <f>VLOOKUP(B2,$I$3:$J$8,2,0)</f>
        <v>5800</v>
      </c>
      <c r="D2" s="1">
        <f ca="1">RANDBETWEEN(1000,7000)</f>
        <v>5396</v>
      </c>
      <c r="E2" s="2">
        <f ca="1">C2+D2</f>
        <v>11196</v>
      </c>
    </row>
    <row r="3" spans="1:10" x14ac:dyDescent="0.25">
      <c r="A3" s="1" t="s">
        <v>10</v>
      </c>
      <c r="B3" s="1" t="s">
        <v>6</v>
      </c>
      <c r="C3" s="1">
        <f t="shared" ref="C3:C31" si="0">VLOOKUP(B3,$I$3:$J$8,2,0)</f>
        <v>6500</v>
      </c>
      <c r="D3" s="1">
        <f t="shared" ref="D3:D31" ca="1" si="1">RANDBETWEEN(1000,7000)</f>
        <v>5230</v>
      </c>
      <c r="E3" s="2">
        <f t="shared" ref="E3:E31" ca="1" si="2">C3+D3</f>
        <v>11730</v>
      </c>
      <c r="I3" s="2" t="s">
        <v>1</v>
      </c>
      <c r="J3" s="1" t="s">
        <v>2</v>
      </c>
    </row>
    <row r="4" spans="1:10" x14ac:dyDescent="0.25">
      <c r="A4" s="1" t="s">
        <v>11</v>
      </c>
      <c r="B4" s="1" t="s">
        <v>8</v>
      </c>
      <c r="C4" s="1">
        <f t="shared" si="0"/>
        <v>5750</v>
      </c>
      <c r="D4" s="1">
        <f t="shared" ca="1" si="1"/>
        <v>6835</v>
      </c>
      <c r="E4" s="2">
        <f t="shared" ca="1" si="2"/>
        <v>12585</v>
      </c>
      <c r="I4" s="1" t="s">
        <v>5</v>
      </c>
      <c r="J4" s="1">
        <v>6700</v>
      </c>
    </row>
    <row r="5" spans="1:10" x14ac:dyDescent="0.25">
      <c r="A5" s="1" t="s">
        <v>12</v>
      </c>
      <c r="B5" s="1" t="s">
        <v>9</v>
      </c>
      <c r="C5" s="1">
        <f t="shared" si="0"/>
        <v>5800</v>
      </c>
      <c r="D5" s="1">
        <f t="shared" ca="1" si="1"/>
        <v>6348</v>
      </c>
      <c r="E5" s="2">
        <f t="shared" ca="1" si="2"/>
        <v>12148</v>
      </c>
      <c r="I5" s="1" t="s">
        <v>6</v>
      </c>
      <c r="J5" s="1">
        <v>6500</v>
      </c>
    </row>
    <row r="6" spans="1:10" x14ac:dyDescent="0.25">
      <c r="A6" s="1" t="s">
        <v>13</v>
      </c>
      <c r="B6" s="1" t="s">
        <v>5</v>
      </c>
      <c r="C6" s="1">
        <f t="shared" si="0"/>
        <v>6700</v>
      </c>
      <c r="D6" s="1">
        <f t="shared" ca="1" si="1"/>
        <v>5476</v>
      </c>
      <c r="E6" s="2">
        <f t="shared" ca="1" si="2"/>
        <v>12176</v>
      </c>
      <c r="I6" s="1" t="s">
        <v>7</v>
      </c>
      <c r="J6" s="1">
        <v>6000</v>
      </c>
    </row>
    <row r="7" spans="1:10" x14ac:dyDescent="0.25">
      <c r="A7" s="1" t="s">
        <v>14</v>
      </c>
      <c r="B7" s="1" t="s">
        <v>6</v>
      </c>
      <c r="C7" s="1">
        <f t="shared" si="0"/>
        <v>6500</v>
      </c>
      <c r="D7" s="1">
        <f t="shared" ca="1" si="1"/>
        <v>1153</v>
      </c>
      <c r="E7" s="2">
        <f t="shared" ca="1" si="2"/>
        <v>7653</v>
      </c>
      <c r="I7" s="1" t="s">
        <v>8</v>
      </c>
      <c r="J7" s="1">
        <v>5750</v>
      </c>
    </row>
    <row r="8" spans="1:10" x14ac:dyDescent="0.25">
      <c r="A8" s="1" t="s">
        <v>15</v>
      </c>
      <c r="B8" s="1" t="s">
        <v>5</v>
      </c>
      <c r="C8" s="1">
        <f t="shared" si="0"/>
        <v>6700</v>
      </c>
      <c r="D8" s="1">
        <f t="shared" ca="1" si="1"/>
        <v>1232</v>
      </c>
      <c r="E8" s="2">
        <f t="shared" ca="1" si="2"/>
        <v>7932</v>
      </c>
      <c r="I8" s="1" t="s">
        <v>9</v>
      </c>
      <c r="J8" s="1">
        <v>5800</v>
      </c>
    </row>
    <row r="9" spans="1:10" x14ac:dyDescent="0.25">
      <c r="A9" s="1" t="s">
        <v>16</v>
      </c>
      <c r="B9" s="1" t="s">
        <v>9</v>
      </c>
      <c r="C9" s="1">
        <f t="shared" si="0"/>
        <v>5800</v>
      </c>
      <c r="D9" s="1">
        <f t="shared" ca="1" si="1"/>
        <v>3127</v>
      </c>
      <c r="E9" s="2">
        <f t="shared" ca="1" si="2"/>
        <v>8927</v>
      </c>
    </row>
    <row r="10" spans="1:10" x14ac:dyDescent="0.25">
      <c r="A10" s="1" t="s">
        <v>17</v>
      </c>
      <c r="B10" s="1" t="s">
        <v>7</v>
      </c>
      <c r="C10" s="1">
        <f t="shared" si="0"/>
        <v>6000</v>
      </c>
      <c r="D10" s="1">
        <f t="shared" ca="1" si="1"/>
        <v>4246</v>
      </c>
      <c r="E10" s="2">
        <f t="shared" ca="1" si="2"/>
        <v>10246</v>
      </c>
    </row>
    <row r="11" spans="1:10" x14ac:dyDescent="0.25">
      <c r="A11" s="1" t="s">
        <v>18</v>
      </c>
      <c r="B11" s="1" t="s">
        <v>8</v>
      </c>
      <c r="C11" s="1">
        <f t="shared" si="0"/>
        <v>5750</v>
      </c>
      <c r="D11" s="1">
        <f t="shared" ca="1" si="1"/>
        <v>6557</v>
      </c>
      <c r="E11" s="2">
        <f t="shared" ca="1" si="2"/>
        <v>12307</v>
      </c>
    </row>
    <row r="12" spans="1:10" x14ac:dyDescent="0.25">
      <c r="A12" s="1" t="s">
        <v>19</v>
      </c>
      <c r="B12" s="1" t="s">
        <v>5</v>
      </c>
      <c r="C12" s="1">
        <f t="shared" si="0"/>
        <v>6700</v>
      </c>
      <c r="D12" s="1">
        <f t="shared" ca="1" si="1"/>
        <v>2970</v>
      </c>
      <c r="E12" s="2">
        <f t="shared" ca="1" si="2"/>
        <v>9670</v>
      </c>
    </row>
    <row r="13" spans="1:10" x14ac:dyDescent="0.25">
      <c r="A13" s="1" t="s">
        <v>20</v>
      </c>
      <c r="B13" s="1" t="s">
        <v>9</v>
      </c>
      <c r="C13" s="1">
        <f t="shared" si="0"/>
        <v>5800</v>
      </c>
      <c r="D13" s="1">
        <f t="shared" ca="1" si="1"/>
        <v>4862</v>
      </c>
      <c r="E13" s="2">
        <f t="shared" ca="1" si="2"/>
        <v>10662</v>
      </c>
    </row>
    <row r="14" spans="1:10" x14ac:dyDescent="0.25">
      <c r="A14" s="1" t="s">
        <v>21</v>
      </c>
      <c r="B14" s="1" t="s">
        <v>5</v>
      </c>
      <c r="C14" s="1">
        <f t="shared" si="0"/>
        <v>6700</v>
      </c>
      <c r="D14" s="1">
        <f t="shared" ca="1" si="1"/>
        <v>4989</v>
      </c>
      <c r="E14" s="2">
        <f t="shared" ca="1" si="2"/>
        <v>11689</v>
      </c>
    </row>
    <row r="15" spans="1:10" x14ac:dyDescent="0.25">
      <c r="A15" s="1" t="s">
        <v>22</v>
      </c>
      <c r="B15" s="1" t="s">
        <v>7</v>
      </c>
      <c r="C15" s="1">
        <f t="shared" si="0"/>
        <v>6000</v>
      </c>
      <c r="D15" s="1">
        <f t="shared" ca="1" si="1"/>
        <v>2800</v>
      </c>
      <c r="E15" s="2">
        <f t="shared" ca="1" si="2"/>
        <v>8800</v>
      </c>
    </row>
    <row r="16" spans="1:10" x14ac:dyDescent="0.25">
      <c r="A16" s="1" t="s">
        <v>23</v>
      </c>
      <c r="B16" s="1" t="s">
        <v>8</v>
      </c>
      <c r="C16" s="1">
        <f t="shared" si="0"/>
        <v>5750</v>
      </c>
      <c r="D16" s="1">
        <f t="shared" ca="1" si="1"/>
        <v>5731</v>
      </c>
      <c r="E16" s="2">
        <f t="shared" ca="1" si="2"/>
        <v>11481</v>
      </c>
    </row>
    <row r="17" spans="1:5" x14ac:dyDescent="0.25">
      <c r="A17" s="1" t="s">
        <v>24</v>
      </c>
      <c r="B17" s="1" t="s">
        <v>6</v>
      </c>
      <c r="C17" s="1">
        <f t="shared" si="0"/>
        <v>6500</v>
      </c>
      <c r="D17" s="1">
        <f t="shared" ca="1" si="1"/>
        <v>5696</v>
      </c>
      <c r="E17" s="2">
        <f t="shared" ca="1" si="2"/>
        <v>12196</v>
      </c>
    </row>
    <row r="18" spans="1:5" x14ac:dyDescent="0.25">
      <c r="A18" s="1" t="s">
        <v>25</v>
      </c>
      <c r="B18" s="1" t="s">
        <v>7</v>
      </c>
      <c r="C18" s="1">
        <f t="shared" si="0"/>
        <v>6000</v>
      </c>
      <c r="D18" s="1">
        <f t="shared" ca="1" si="1"/>
        <v>6460</v>
      </c>
      <c r="E18" s="2">
        <f t="shared" ca="1" si="2"/>
        <v>12460</v>
      </c>
    </row>
    <row r="19" spans="1:5" x14ac:dyDescent="0.25">
      <c r="A19" s="1" t="s">
        <v>26</v>
      </c>
      <c r="B19" s="1" t="s">
        <v>7</v>
      </c>
      <c r="C19" s="1">
        <f t="shared" si="0"/>
        <v>6000</v>
      </c>
      <c r="D19" s="1">
        <f t="shared" ca="1" si="1"/>
        <v>2907</v>
      </c>
      <c r="E19" s="2">
        <f t="shared" ca="1" si="2"/>
        <v>8907</v>
      </c>
    </row>
    <row r="20" spans="1:5" x14ac:dyDescent="0.25">
      <c r="A20" s="1" t="s">
        <v>27</v>
      </c>
      <c r="B20" s="1" t="s">
        <v>7</v>
      </c>
      <c r="C20" s="1">
        <f t="shared" si="0"/>
        <v>6000</v>
      </c>
      <c r="D20" s="1">
        <f t="shared" ca="1" si="1"/>
        <v>6457</v>
      </c>
      <c r="E20" s="2">
        <f t="shared" ca="1" si="2"/>
        <v>12457</v>
      </c>
    </row>
    <row r="21" spans="1:5" x14ac:dyDescent="0.25">
      <c r="A21" s="1" t="s">
        <v>28</v>
      </c>
      <c r="B21" s="1" t="s">
        <v>6</v>
      </c>
      <c r="C21" s="1">
        <f t="shared" si="0"/>
        <v>6500</v>
      </c>
      <c r="D21" s="1">
        <f t="shared" ca="1" si="1"/>
        <v>4528</v>
      </c>
      <c r="E21" s="2">
        <f t="shared" ca="1" si="2"/>
        <v>11028</v>
      </c>
    </row>
    <row r="22" spans="1:5" x14ac:dyDescent="0.25">
      <c r="A22" s="1" t="s">
        <v>29</v>
      </c>
      <c r="B22" s="1" t="s">
        <v>7</v>
      </c>
      <c r="C22" s="1">
        <f t="shared" si="0"/>
        <v>6000</v>
      </c>
      <c r="D22" s="1">
        <f t="shared" ca="1" si="1"/>
        <v>6934</v>
      </c>
      <c r="E22" s="2">
        <f t="shared" ca="1" si="2"/>
        <v>12934</v>
      </c>
    </row>
    <row r="23" spans="1:5" x14ac:dyDescent="0.25">
      <c r="A23" s="1" t="s">
        <v>30</v>
      </c>
      <c r="B23" s="1" t="s">
        <v>8</v>
      </c>
      <c r="C23" s="1">
        <f t="shared" si="0"/>
        <v>5750</v>
      </c>
      <c r="D23" s="1">
        <f t="shared" ca="1" si="1"/>
        <v>4972</v>
      </c>
      <c r="E23" s="2">
        <f t="shared" ca="1" si="2"/>
        <v>10722</v>
      </c>
    </row>
    <row r="24" spans="1:5" x14ac:dyDescent="0.25">
      <c r="A24" s="1" t="s">
        <v>31</v>
      </c>
      <c r="B24" s="1" t="s">
        <v>5</v>
      </c>
      <c r="C24" s="1">
        <f t="shared" si="0"/>
        <v>6700</v>
      </c>
      <c r="D24" s="1">
        <f t="shared" ca="1" si="1"/>
        <v>2560</v>
      </c>
      <c r="E24" s="2">
        <f t="shared" ca="1" si="2"/>
        <v>9260</v>
      </c>
    </row>
    <row r="25" spans="1:5" x14ac:dyDescent="0.25">
      <c r="A25" s="1" t="s">
        <v>32</v>
      </c>
      <c r="B25" s="1" t="s">
        <v>6</v>
      </c>
      <c r="C25" s="1">
        <f t="shared" si="0"/>
        <v>6500</v>
      </c>
      <c r="D25" s="1">
        <f t="shared" ca="1" si="1"/>
        <v>5733</v>
      </c>
      <c r="E25" s="2">
        <f t="shared" ca="1" si="2"/>
        <v>12233</v>
      </c>
    </row>
    <row r="26" spans="1:5" x14ac:dyDescent="0.25">
      <c r="A26" s="1" t="s">
        <v>33</v>
      </c>
      <c r="B26" s="1" t="s">
        <v>5</v>
      </c>
      <c r="C26" s="1">
        <f t="shared" si="0"/>
        <v>6700</v>
      </c>
      <c r="D26" s="1">
        <f t="shared" ca="1" si="1"/>
        <v>5963</v>
      </c>
      <c r="E26" s="2">
        <f t="shared" ca="1" si="2"/>
        <v>12663</v>
      </c>
    </row>
    <row r="27" spans="1:5" x14ac:dyDescent="0.25">
      <c r="A27" s="1" t="s">
        <v>34</v>
      </c>
      <c r="B27" s="1" t="s">
        <v>6</v>
      </c>
      <c r="C27" s="1">
        <f t="shared" si="0"/>
        <v>6500</v>
      </c>
      <c r="D27" s="1">
        <f t="shared" ca="1" si="1"/>
        <v>2598</v>
      </c>
      <c r="E27" s="2">
        <f t="shared" ca="1" si="2"/>
        <v>9098</v>
      </c>
    </row>
    <row r="28" spans="1:5" x14ac:dyDescent="0.25">
      <c r="A28" s="1" t="s">
        <v>35</v>
      </c>
      <c r="B28" s="1" t="s">
        <v>8</v>
      </c>
      <c r="C28" s="1">
        <f t="shared" si="0"/>
        <v>5750</v>
      </c>
      <c r="D28" s="1">
        <f t="shared" ca="1" si="1"/>
        <v>6589</v>
      </c>
      <c r="E28" s="2">
        <f t="shared" ca="1" si="2"/>
        <v>12339</v>
      </c>
    </row>
    <row r="29" spans="1:5" x14ac:dyDescent="0.25">
      <c r="A29" s="1" t="s">
        <v>36</v>
      </c>
      <c r="B29" s="1" t="s">
        <v>7</v>
      </c>
      <c r="C29" s="1">
        <f t="shared" si="0"/>
        <v>6000</v>
      </c>
      <c r="D29" s="1">
        <f t="shared" ca="1" si="1"/>
        <v>2670</v>
      </c>
      <c r="E29" s="2">
        <f t="shared" ca="1" si="2"/>
        <v>8670</v>
      </c>
    </row>
    <row r="30" spans="1:5" x14ac:dyDescent="0.25">
      <c r="A30" s="1" t="s">
        <v>37</v>
      </c>
      <c r="B30" s="1" t="s">
        <v>9</v>
      </c>
      <c r="C30" s="1">
        <f t="shared" si="0"/>
        <v>5800</v>
      </c>
      <c r="D30" s="1">
        <f t="shared" ca="1" si="1"/>
        <v>1507</v>
      </c>
      <c r="E30" s="2">
        <f t="shared" ca="1" si="2"/>
        <v>7307</v>
      </c>
    </row>
    <row r="31" spans="1:5" x14ac:dyDescent="0.25">
      <c r="A31" s="1" t="s">
        <v>38</v>
      </c>
      <c r="B31" s="1" t="s">
        <v>9</v>
      </c>
      <c r="C31" s="1">
        <f t="shared" si="0"/>
        <v>5800</v>
      </c>
      <c r="D31" s="1">
        <f t="shared" ca="1" si="1"/>
        <v>5207</v>
      </c>
      <c r="E31" s="2">
        <f t="shared" ca="1" si="2"/>
        <v>11007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AAFD8-1626-41C9-BC0B-7DA294CC210F}">
  <dimension ref="A1:J31"/>
  <sheetViews>
    <sheetView workbookViewId="0">
      <selection activeCell="H21" sqref="H21"/>
    </sheetView>
  </sheetViews>
  <sheetFormatPr defaultRowHeight="13.8" x14ac:dyDescent="0.25"/>
  <cols>
    <col min="1" max="1" width="30.69921875" customWidth="1"/>
    <col min="2" max="2" width="16.59765625" customWidth="1"/>
    <col min="3" max="3" width="11.59765625" customWidth="1"/>
    <col min="4" max="4" width="12.8984375" customWidth="1"/>
    <col min="5" max="5" width="16.8984375" customWidth="1"/>
    <col min="9" max="9" width="12.69921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 x14ac:dyDescent="0.25">
      <c r="A2" s="1" t="s">
        <v>40</v>
      </c>
      <c r="B2" s="2" t="s">
        <v>9</v>
      </c>
      <c r="C2" s="1">
        <f>VLOOKUP(B2,$I$3:$J$8,2,0)</f>
        <v>6000</v>
      </c>
      <c r="D2" s="1">
        <f ca="1">RANDBETWEEN(1000,7000)</f>
        <v>2239</v>
      </c>
      <c r="E2" s="2">
        <f ca="1">C2+D2</f>
        <v>8239</v>
      </c>
    </row>
    <row r="3" spans="1:10" x14ac:dyDescent="0.25">
      <c r="A3" s="1" t="s">
        <v>10</v>
      </c>
      <c r="B3" s="1" t="s">
        <v>6</v>
      </c>
      <c r="C3" s="1">
        <f t="shared" ref="C3:C31" si="0">VLOOKUP(B3,$I$3:$J$8,2,0)</f>
        <v>6300</v>
      </c>
      <c r="D3" s="1">
        <f ca="1">RANDBETWEEN(1000,7000)</f>
        <v>3488</v>
      </c>
      <c r="E3" s="2">
        <f t="shared" ref="E3:E31" ca="1" si="1">C3+D3</f>
        <v>9788</v>
      </c>
      <c r="I3" s="2" t="s">
        <v>1</v>
      </c>
      <c r="J3" s="1" t="s">
        <v>2</v>
      </c>
    </row>
    <row r="4" spans="1:10" x14ac:dyDescent="0.25">
      <c r="A4" s="1" t="s">
        <v>11</v>
      </c>
      <c r="B4" s="1" t="s">
        <v>8</v>
      </c>
      <c r="C4" s="1">
        <f t="shared" si="0"/>
        <v>6900</v>
      </c>
      <c r="D4" s="1">
        <f t="shared" ref="D4:D31" ca="1" si="2">RANDBETWEEN(1000,7000)</f>
        <v>5920</v>
      </c>
      <c r="E4" s="2">
        <f t="shared" ca="1" si="1"/>
        <v>12820</v>
      </c>
      <c r="I4" s="1" t="s">
        <v>5</v>
      </c>
      <c r="J4" s="1">
        <v>6500</v>
      </c>
    </row>
    <row r="5" spans="1:10" x14ac:dyDescent="0.25">
      <c r="A5" s="1" t="s">
        <v>12</v>
      </c>
      <c r="B5" s="1" t="s">
        <v>9</v>
      </c>
      <c r="C5" s="1">
        <f t="shared" si="0"/>
        <v>6000</v>
      </c>
      <c r="D5" s="1">
        <f t="shared" ca="1" si="2"/>
        <v>4605</v>
      </c>
      <c r="E5" s="2">
        <f t="shared" ca="1" si="1"/>
        <v>10605</v>
      </c>
      <c r="I5" s="1" t="s">
        <v>6</v>
      </c>
      <c r="J5" s="1">
        <v>6300</v>
      </c>
    </row>
    <row r="6" spans="1:10" x14ac:dyDescent="0.25">
      <c r="A6" s="1" t="s">
        <v>13</v>
      </c>
      <c r="B6" s="1" t="s">
        <v>5</v>
      </c>
      <c r="C6" s="1">
        <f t="shared" si="0"/>
        <v>6500</v>
      </c>
      <c r="D6" s="1">
        <f t="shared" ca="1" si="2"/>
        <v>2300</v>
      </c>
      <c r="E6" s="2">
        <f t="shared" ca="1" si="1"/>
        <v>8800</v>
      </c>
      <c r="I6" s="1" t="s">
        <v>7</v>
      </c>
      <c r="J6" s="1">
        <v>5500</v>
      </c>
    </row>
    <row r="7" spans="1:10" x14ac:dyDescent="0.25">
      <c r="A7" s="1" t="s">
        <v>14</v>
      </c>
      <c r="B7" s="1" t="s">
        <v>6</v>
      </c>
      <c r="C7" s="1">
        <f t="shared" si="0"/>
        <v>6300</v>
      </c>
      <c r="D7" s="1">
        <f t="shared" ca="1" si="2"/>
        <v>4005</v>
      </c>
      <c r="E7" s="2">
        <f t="shared" ca="1" si="1"/>
        <v>10305</v>
      </c>
      <c r="I7" s="1" t="s">
        <v>8</v>
      </c>
      <c r="J7" s="1">
        <v>6900</v>
      </c>
    </row>
    <row r="8" spans="1:10" x14ac:dyDescent="0.25">
      <c r="A8" s="1" t="s">
        <v>15</v>
      </c>
      <c r="B8" s="1" t="s">
        <v>5</v>
      </c>
      <c r="C8" s="1">
        <f t="shared" si="0"/>
        <v>6500</v>
      </c>
      <c r="D8" s="1">
        <f t="shared" ca="1" si="2"/>
        <v>5745</v>
      </c>
      <c r="E8" s="2">
        <f t="shared" ca="1" si="1"/>
        <v>12245</v>
      </c>
      <c r="I8" s="1" t="s">
        <v>9</v>
      </c>
      <c r="J8" s="1">
        <v>6000</v>
      </c>
    </row>
    <row r="9" spans="1:10" x14ac:dyDescent="0.25">
      <c r="A9" s="1" t="s">
        <v>16</v>
      </c>
      <c r="B9" s="1" t="s">
        <v>9</v>
      </c>
      <c r="C9" s="1">
        <f t="shared" si="0"/>
        <v>6000</v>
      </c>
      <c r="D9" s="1">
        <f t="shared" ca="1" si="2"/>
        <v>5680</v>
      </c>
      <c r="E9" s="2">
        <f t="shared" ca="1" si="1"/>
        <v>11680</v>
      </c>
    </row>
    <row r="10" spans="1:10" x14ac:dyDescent="0.25">
      <c r="A10" s="1" t="s">
        <v>17</v>
      </c>
      <c r="B10" s="1" t="s">
        <v>7</v>
      </c>
      <c r="C10" s="1">
        <f t="shared" si="0"/>
        <v>5500</v>
      </c>
      <c r="D10" s="1">
        <f t="shared" ca="1" si="2"/>
        <v>3911</v>
      </c>
      <c r="E10" s="2">
        <f t="shared" ca="1" si="1"/>
        <v>9411</v>
      </c>
    </row>
    <row r="11" spans="1:10" x14ac:dyDescent="0.25">
      <c r="A11" s="1" t="s">
        <v>18</v>
      </c>
      <c r="B11" s="1" t="s">
        <v>8</v>
      </c>
      <c r="C11" s="1">
        <f t="shared" si="0"/>
        <v>6900</v>
      </c>
      <c r="D11" s="1">
        <f t="shared" ca="1" si="2"/>
        <v>2607</v>
      </c>
      <c r="E11" s="2">
        <f t="shared" ca="1" si="1"/>
        <v>9507</v>
      </c>
    </row>
    <row r="12" spans="1:10" x14ac:dyDescent="0.25">
      <c r="A12" s="1" t="s">
        <v>19</v>
      </c>
      <c r="B12" s="1" t="s">
        <v>5</v>
      </c>
      <c r="C12" s="1">
        <f t="shared" si="0"/>
        <v>6500</v>
      </c>
      <c r="D12" s="1">
        <f t="shared" ca="1" si="2"/>
        <v>3454</v>
      </c>
      <c r="E12" s="2">
        <f t="shared" ca="1" si="1"/>
        <v>9954</v>
      </c>
    </row>
    <row r="13" spans="1:10" x14ac:dyDescent="0.25">
      <c r="A13" s="1" t="s">
        <v>20</v>
      </c>
      <c r="B13" s="1" t="s">
        <v>9</v>
      </c>
      <c r="C13" s="1">
        <f t="shared" si="0"/>
        <v>6000</v>
      </c>
      <c r="D13" s="1">
        <f t="shared" ca="1" si="2"/>
        <v>3523</v>
      </c>
      <c r="E13" s="2">
        <f t="shared" ca="1" si="1"/>
        <v>9523</v>
      </c>
    </row>
    <row r="14" spans="1:10" x14ac:dyDescent="0.25">
      <c r="A14" s="1" t="s">
        <v>21</v>
      </c>
      <c r="B14" s="1" t="s">
        <v>5</v>
      </c>
      <c r="C14" s="1">
        <f t="shared" si="0"/>
        <v>6500</v>
      </c>
      <c r="D14" s="1">
        <f t="shared" ca="1" si="2"/>
        <v>6820</v>
      </c>
      <c r="E14" s="2">
        <f t="shared" ca="1" si="1"/>
        <v>13320</v>
      </c>
    </row>
    <row r="15" spans="1:10" x14ac:dyDescent="0.25">
      <c r="A15" s="1" t="s">
        <v>22</v>
      </c>
      <c r="B15" s="1" t="s">
        <v>7</v>
      </c>
      <c r="C15" s="1">
        <f t="shared" si="0"/>
        <v>5500</v>
      </c>
      <c r="D15" s="1">
        <f t="shared" ca="1" si="2"/>
        <v>4384</v>
      </c>
      <c r="E15" s="2">
        <f t="shared" ca="1" si="1"/>
        <v>9884</v>
      </c>
    </row>
    <row r="16" spans="1:10" x14ac:dyDescent="0.25">
      <c r="A16" s="1" t="s">
        <v>23</v>
      </c>
      <c r="B16" s="1" t="s">
        <v>8</v>
      </c>
      <c r="C16" s="1">
        <f t="shared" si="0"/>
        <v>6900</v>
      </c>
      <c r="D16" s="1">
        <f t="shared" ca="1" si="2"/>
        <v>5000</v>
      </c>
      <c r="E16" s="2">
        <f t="shared" ca="1" si="1"/>
        <v>11900</v>
      </c>
    </row>
    <row r="17" spans="1:5" x14ac:dyDescent="0.25">
      <c r="A17" s="1" t="s">
        <v>24</v>
      </c>
      <c r="B17" s="1" t="s">
        <v>6</v>
      </c>
      <c r="C17" s="1">
        <f t="shared" si="0"/>
        <v>6300</v>
      </c>
      <c r="D17" s="1">
        <f t="shared" ca="1" si="2"/>
        <v>4199</v>
      </c>
      <c r="E17" s="2">
        <f t="shared" ca="1" si="1"/>
        <v>10499</v>
      </c>
    </row>
    <row r="18" spans="1:5" x14ac:dyDescent="0.25">
      <c r="A18" s="1" t="s">
        <v>25</v>
      </c>
      <c r="B18" s="1" t="s">
        <v>7</v>
      </c>
      <c r="C18" s="1">
        <f t="shared" si="0"/>
        <v>5500</v>
      </c>
      <c r="D18" s="1">
        <f t="shared" ca="1" si="2"/>
        <v>3353</v>
      </c>
      <c r="E18" s="2">
        <f t="shared" ca="1" si="1"/>
        <v>8853</v>
      </c>
    </row>
    <row r="19" spans="1:5" x14ac:dyDescent="0.25">
      <c r="A19" s="1" t="s">
        <v>26</v>
      </c>
      <c r="B19" s="1" t="s">
        <v>7</v>
      </c>
      <c r="C19" s="1">
        <f t="shared" si="0"/>
        <v>5500</v>
      </c>
      <c r="D19" s="1">
        <f t="shared" ca="1" si="2"/>
        <v>1420</v>
      </c>
      <c r="E19" s="2">
        <f t="shared" ca="1" si="1"/>
        <v>6920</v>
      </c>
    </row>
    <row r="20" spans="1:5" x14ac:dyDescent="0.25">
      <c r="A20" s="1" t="s">
        <v>27</v>
      </c>
      <c r="B20" s="1" t="s">
        <v>7</v>
      </c>
      <c r="C20" s="1">
        <f t="shared" si="0"/>
        <v>5500</v>
      </c>
      <c r="D20" s="1">
        <f t="shared" ca="1" si="2"/>
        <v>4566</v>
      </c>
      <c r="E20" s="2">
        <f t="shared" ca="1" si="1"/>
        <v>10066</v>
      </c>
    </row>
    <row r="21" spans="1:5" x14ac:dyDescent="0.25">
      <c r="A21" s="1" t="s">
        <v>28</v>
      </c>
      <c r="B21" s="1" t="s">
        <v>6</v>
      </c>
      <c r="C21" s="1">
        <f t="shared" si="0"/>
        <v>6300</v>
      </c>
      <c r="D21" s="1">
        <f t="shared" ca="1" si="2"/>
        <v>4864</v>
      </c>
      <c r="E21" s="2">
        <f t="shared" ca="1" si="1"/>
        <v>11164</v>
      </c>
    </row>
    <row r="22" spans="1:5" x14ac:dyDescent="0.25">
      <c r="A22" s="1" t="s">
        <v>29</v>
      </c>
      <c r="B22" s="1" t="s">
        <v>7</v>
      </c>
      <c r="C22" s="1">
        <f t="shared" si="0"/>
        <v>5500</v>
      </c>
      <c r="D22" s="1">
        <f t="shared" ca="1" si="2"/>
        <v>2807</v>
      </c>
      <c r="E22" s="2">
        <f t="shared" ca="1" si="1"/>
        <v>8307</v>
      </c>
    </row>
    <row r="23" spans="1:5" x14ac:dyDescent="0.25">
      <c r="A23" s="1" t="s">
        <v>30</v>
      </c>
      <c r="B23" s="1" t="s">
        <v>8</v>
      </c>
      <c r="C23" s="1">
        <f t="shared" si="0"/>
        <v>6900</v>
      </c>
      <c r="D23" s="1">
        <f t="shared" ca="1" si="2"/>
        <v>6698</v>
      </c>
      <c r="E23" s="2">
        <f t="shared" ca="1" si="1"/>
        <v>13598</v>
      </c>
    </row>
    <row r="24" spans="1:5" x14ac:dyDescent="0.25">
      <c r="A24" s="1" t="s">
        <v>31</v>
      </c>
      <c r="B24" s="1" t="s">
        <v>5</v>
      </c>
      <c r="C24" s="1">
        <f t="shared" si="0"/>
        <v>6500</v>
      </c>
      <c r="D24" s="1">
        <f t="shared" ca="1" si="2"/>
        <v>5744</v>
      </c>
      <c r="E24" s="2">
        <f t="shared" ca="1" si="1"/>
        <v>12244</v>
      </c>
    </row>
    <row r="25" spans="1:5" x14ac:dyDescent="0.25">
      <c r="A25" s="1" t="s">
        <v>32</v>
      </c>
      <c r="B25" s="1" t="s">
        <v>6</v>
      </c>
      <c r="C25" s="1">
        <f t="shared" si="0"/>
        <v>6300</v>
      </c>
      <c r="D25" s="1">
        <f t="shared" ca="1" si="2"/>
        <v>2829</v>
      </c>
      <c r="E25" s="2">
        <f t="shared" ca="1" si="1"/>
        <v>9129</v>
      </c>
    </row>
    <row r="26" spans="1:5" x14ac:dyDescent="0.25">
      <c r="A26" s="1" t="s">
        <v>33</v>
      </c>
      <c r="B26" s="1" t="s">
        <v>5</v>
      </c>
      <c r="C26" s="1">
        <f t="shared" si="0"/>
        <v>6500</v>
      </c>
      <c r="D26" s="1">
        <f t="shared" ca="1" si="2"/>
        <v>3116</v>
      </c>
      <c r="E26" s="2">
        <f t="shared" ca="1" si="1"/>
        <v>9616</v>
      </c>
    </row>
    <row r="27" spans="1:5" x14ac:dyDescent="0.25">
      <c r="A27" s="1" t="s">
        <v>34</v>
      </c>
      <c r="B27" s="1" t="s">
        <v>6</v>
      </c>
      <c r="C27" s="1">
        <f t="shared" si="0"/>
        <v>6300</v>
      </c>
      <c r="D27" s="1">
        <f t="shared" ca="1" si="2"/>
        <v>2582</v>
      </c>
      <c r="E27" s="2">
        <f t="shared" ca="1" si="1"/>
        <v>8882</v>
      </c>
    </row>
    <row r="28" spans="1:5" x14ac:dyDescent="0.25">
      <c r="A28" s="1" t="s">
        <v>35</v>
      </c>
      <c r="B28" s="1" t="s">
        <v>8</v>
      </c>
      <c r="C28" s="1">
        <f t="shared" si="0"/>
        <v>6900</v>
      </c>
      <c r="D28" s="1">
        <f t="shared" ca="1" si="2"/>
        <v>2817</v>
      </c>
      <c r="E28" s="2">
        <f t="shared" ca="1" si="1"/>
        <v>9717</v>
      </c>
    </row>
    <row r="29" spans="1:5" x14ac:dyDescent="0.25">
      <c r="A29" s="1" t="s">
        <v>36</v>
      </c>
      <c r="B29" s="1" t="s">
        <v>7</v>
      </c>
      <c r="C29" s="1">
        <f t="shared" si="0"/>
        <v>5500</v>
      </c>
      <c r="D29" s="1">
        <f t="shared" ca="1" si="2"/>
        <v>3204</v>
      </c>
      <c r="E29" s="2">
        <f t="shared" ca="1" si="1"/>
        <v>8704</v>
      </c>
    </row>
    <row r="30" spans="1:5" x14ac:dyDescent="0.25">
      <c r="A30" s="1" t="s">
        <v>37</v>
      </c>
      <c r="B30" s="1" t="s">
        <v>9</v>
      </c>
      <c r="C30" s="1">
        <f t="shared" si="0"/>
        <v>6000</v>
      </c>
      <c r="D30" s="1">
        <f t="shared" ca="1" si="2"/>
        <v>6519</v>
      </c>
      <c r="E30" s="2">
        <f t="shared" ca="1" si="1"/>
        <v>12519</v>
      </c>
    </row>
    <row r="31" spans="1:5" x14ac:dyDescent="0.25">
      <c r="A31" s="1" t="s">
        <v>38</v>
      </c>
      <c r="B31" s="1" t="s">
        <v>9</v>
      </c>
      <c r="C31" s="1">
        <f t="shared" si="0"/>
        <v>6000</v>
      </c>
      <c r="D31" s="1">
        <f t="shared" ca="1" si="2"/>
        <v>1404</v>
      </c>
      <c r="E31" s="2">
        <f t="shared" ca="1" si="1"/>
        <v>7404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0826C-43DF-4797-B293-E38DE858AE8D}">
  <dimension ref="A1:J31"/>
  <sheetViews>
    <sheetView workbookViewId="0">
      <selection activeCell="K21" sqref="K21"/>
    </sheetView>
  </sheetViews>
  <sheetFormatPr defaultRowHeight="13.8" x14ac:dyDescent="0.25"/>
  <cols>
    <col min="1" max="1" width="30.69921875" customWidth="1"/>
    <col min="2" max="2" width="16.59765625" customWidth="1"/>
    <col min="3" max="3" width="11.59765625" customWidth="1"/>
    <col min="4" max="4" width="12.8984375" customWidth="1"/>
    <col min="5" max="5" width="16.8984375" customWidth="1"/>
    <col min="9" max="9" width="12.69921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 x14ac:dyDescent="0.25">
      <c r="A2" s="1" t="s">
        <v>40</v>
      </c>
      <c r="B2" s="2" t="s">
        <v>9</v>
      </c>
      <c r="C2" s="1">
        <f>VLOOKUP(B2,$I$3:$J$8,2,0)</f>
        <v>8943</v>
      </c>
      <c r="D2" s="1">
        <f ca="1">RANDBETWEEN(1000,7000)</f>
        <v>3179</v>
      </c>
      <c r="E2" s="2">
        <f ca="1">C2+D2</f>
        <v>12122</v>
      </c>
    </row>
    <row r="3" spans="1:10" x14ac:dyDescent="0.25">
      <c r="A3" s="1" t="s">
        <v>10</v>
      </c>
      <c r="B3" s="1" t="s">
        <v>6</v>
      </c>
      <c r="C3" s="1">
        <f t="shared" ref="C3:C31" si="0">VLOOKUP(B3,$I$3:$J$8,2,0)</f>
        <v>6890</v>
      </c>
      <c r="D3" s="1">
        <f ca="1">RANDBETWEEN(1000,7000)</f>
        <v>3633</v>
      </c>
      <c r="E3" s="2">
        <f t="shared" ref="E3:E31" ca="1" si="1">C3+D3</f>
        <v>10523</v>
      </c>
      <c r="I3" s="2" t="s">
        <v>1</v>
      </c>
      <c r="J3" s="1" t="s">
        <v>2</v>
      </c>
    </row>
    <row r="4" spans="1:10" x14ac:dyDescent="0.25">
      <c r="A4" s="1" t="s">
        <v>11</v>
      </c>
      <c r="B4" s="1" t="s">
        <v>8</v>
      </c>
      <c r="C4" s="1">
        <f t="shared" si="0"/>
        <v>6799</v>
      </c>
      <c r="D4" s="1">
        <f t="shared" ref="D4:D31" ca="1" si="2">RANDBETWEEN(1000,7000)</f>
        <v>4529</v>
      </c>
      <c r="E4" s="2">
        <f t="shared" ca="1" si="1"/>
        <v>11328</v>
      </c>
      <c r="I4" s="1" t="s">
        <v>5</v>
      </c>
      <c r="J4" s="1">
        <v>7000</v>
      </c>
    </row>
    <row r="5" spans="1:10" x14ac:dyDescent="0.25">
      <c r="A5" s="1" t="s">
        <v>12</v>
      </c>
      <c r="B5" s="1" t="s">
        <v>9</v>
      </c>
      <c r="C5" s="1">
        <f t="shared" si="0"/>
        <v>8943</v>
      </c>
      <c r="D5" s="1">
        <f t="shared" ca="1" si="2"/>
        <v>5082</v>
      </c>
      <c r="E5" s="2">
        <f t="shared" ca="1" si="1"/>
        <v>14025</v>
      </c>
      <c r="I5" s="1" t="s">
        <v>6</v>
      </c>
      <c r="J5" s="1">
        <v>6890</v>
      </c>
    </row>
    <row r="6" spans="1:10" x14ac:dyDescent="0.25">
      <c r="A6" s="1" t="s">
        <v>13</v>
      </c>
      <c r="B6" s="1" t="s">
        <v>5</v>
      </c>
      <c r="C6" s="1">
        <f t="shared" si="0"/>
        <v>7000</v>
      </c>
      <c r="D6" s="1">
        <f t="shared" ca="1" si="2"/>
        <v>4338</v>
      </c>
      <c r="E6" s="2">
        <f t="shared" ca="1" si="1"/>
        <v>11338</v>
      </c>
      <c r="I6" s="1" t="s">
        <v>7</v>
      </c>
      <c r="J6" s="1">
        <v>5890</v>
      </c>
    </row>
    <row r="7" spans="1:10" x14ac:dyDescent="0.25">
      <c r="A7" s="1" t="s">
        <v>14</v>
      </c>
      <c r="B7" s="1" t="s">
        <v>6</v>
      </c>
      <c r="C7" s="1">
        <f t="shared" si="0"/>
        <v>6890</v>
      </c>
      <c r="D7" s="1">
        <f t="shared" ca="1" si="2"/>
        <v>4710</v>
      </c>
      <c r="E7" s="2">
        <f t="shared" ca="1" si="1"/>
        <v>11600</v>
      </c>
      <c r="I7" s="1" t="s">
        <v>8</v>
      </c>
      <c r="J7" s="1">
        <v>6799</v>
      </c>
    </row>
    <row r="8" spans="1:10" x14ac:dyDescent="0.25">
      <c r="A8" s="1" t="s">
        <v>15</v>
      </c>
      <c r="B8" s="1" t="s">
        <v>5</v>
      </c>
      <c r="C8" s="1">
        <f t="shared" si="0"/>
        <v>7000</v>
      </c>
      <c r="D8" s="1">
        <f t="shared" ca="1" si="2"/>
        <v>4910</v>
      </c>
      <c r="E8" s="2">
        <f t="shared" ca="1" si="1"/>
        <v>11910</v>
      </c>
      <c r="I8" s="1" t="s">
        <v>9</v>
      </c>
      <c r="J8" s="1">
        <v>8943</v>
      </c>
    </row>
    <row r="9" spans="1:10" x14ac:dyDescent="0.25">
      <c r="A9" s="1" t="s">
        <v>16</v>
      </c>
      <c r="B9" s="1" t="s">
        <v>9</v>
      </c>
      <c r="C9" s="1">
        <f t="shared" si="0"/>
        <v>8943</v>
      </c>
      <c r="D9" s="1">
        <f t="shared" ca="1" si="2"/>
        <v>5303</v>
      </c>
      <c r="E9" s="2">
        <f t="shared" ca="1" si="1"/>
        <v>14246</v>
      </c>
    </row>
    <row r="10" spans="1:10" x14ac:dyDescent="0.25">
      <c r="A10" s="1" t="s">
        <v>17</v>
      </c>
      <c r="B10" s="1" t="s">
        <v>7</v>
      </c>
      <c r="C10" s="1">
        <f t="shared" si="0"/>
        <v>5890</v>
      </c>
      <c r="D10" s="1">
        <f t="shared" ca="1" si="2"/>
        <v>1553</v>
      </c>
      <c r="E10" s="2">
        <f t="shared" ca="1" si="1"/>
        <v>7443</v>
      </c>
    </row>
    <row r="11" spans="1:10" x14ac:dyDescent="0.25">
      <c r="A11" s="1" t="s">
        <v>18</v>
      </c>
      <c r="B11" s="1" t="s">
        <v>8</v>
      </c>
      <c r="C11" s="1">
        <f t="shared" si="0"/>
        <v>6799</v>
      </c>
      <c r="D11" s="1">
        <f t="shared" ca="1" si="2"/>
        <v>4446</v>
      </c>
      <c r="E11" s="2">
        <f t="shared" ca="1" si="1"/>
        <v>11245</v>
      </c>
    </row>
    <row r="12" spans="1:10" x14ac:dyDescent="0.25">
      <c r="A12" s="1" t="s">
        <v>19</v>
      </c>
      <c r="B12" s="1" t="s">
        <v>5</v>
      </c>
      <c r="C12" s="1">
        <f t="shared" si="0"/>
        <v>7000</v>
      </c>
      <c r="D12" s="1">
        <f t="shared" ca="1" si="2"/>
        <v>3367</v>
      </c>
      <c r="E12" s="2">
        <f t="shared" ca="1" si="1"/>
        <v>10367</v>
      </c>
    </row>
    <row r="13" spans="1:10" x14ac:dyDescent="0.25">
      <c r="A13" s="1" t="s">
        <v>20</v>
      </c>
      <c r="B13" s="1" t="s">
        <v>9</v>
      </c>
      <c r="C13" s="1">
        <f t="shared" si="0"/>
        <v>8943</v>
      </c>
      <c r="D13" s="1">
        <f t="shared" ca="1" si="2"/>
        <v>5786</v>
      </c>
      <c r="E13" s="2">
        <f t="shared" ca="1" si="1"/>
        <v>14729</v>
      </c>
    </row>
    <row r="14" spans="1:10" x14ac:dyDescent="0.25">
      <c r="A14" s="1" t="s">
        <v>21</v>
      </c>
      <c r="B14" s="1" t="s">
        <v>5</v>
      </c>
      <c r="C14" s="1">
        <f t="shared" si="0"/>
        <v>7000</v>
      </c>
      <c r="D14" s="1">
        <f t="shared" ca="1" si="2"/>
        <v>1075</v>
      </c>
      <c r="E14" s="2">
        <f t="shared" ca="1" si="1"/>
        <v>8075</v>
      </c>
    </row>
    <row r="15" spans="1:10" x14ac:dyDescent="0.25">
      <c r="A15" s="1" t="s">
        <v>22</v>
      </c>
      <c r="B15" s="1" t="s">
        <v>7</v>
      </c>
      <c r="C15" s="1">
        <f t="shared" si="0"/>
        <v>5890</v>
      </c>
      <c r="D15" s="1">
        <f t="shared" ca="1" si="2"/>
        <v>5972</v>
      </c>
      <c r="E15" s="2">
        <f t="shared" ca="1" si="1"/>
        <v>11862</v>
      </c>
    </row>
    <row r="16" spans="1:10" x14ac:dyDescent="0.25">
      <c r="A16" s="1" t="s">
        <v>23</v>
      </c>
      <c r="B16" s="1" t="s">
        <v>8</v>
      </c>
      <c r="C16" s="1">
        <f t="shared" si="0"/>
        <v>6799</v>
      </c>
      <c r="D16" s="1">
        <f t="shared" ca="1" si="2"/>
        <v>5001</v>
      </c>
      <c r="E16" s="2">
        <f t="shared" ca="1" si="1"/>
        <v>11800</v>
      </c>
    </row>
    <row r="17" spans="1:5" x14ac:dyDescent="0.25">
      <c r="A17" s="1" t="s">
        <v>24</v>
      </c>
      <c r="B17" s="1" t="s">
        <v>6</v>
      </c>
      <c r="C17" s="1">
        <f t="shared" si="0"/>
        <v>6890</v>
      </c>
      <c r="D17" s="1">
        <f t="shared" ca="1" si="2"/>
        <v>4188</v>
      </c>
      <c r="E17" s="2">
        <f t="shared" ca="1" si="1"/>
        <v>11078</v>
      </c>
    </row>
    <row r="18" spans="1:5" x14ac:dyDescent="0.25">
      <c r="A18" s="1" t="s">
        <v>25</v>
      </c>
      <c r="B18" s="1" t="s">
        <v>7</v>
      </c>
      <c r="C18" s="1">
        <f t="shared" si="0"/>
        <v>5890</v>
      </c>
      <c r="D18" s="1">
        <f t="shared" ca="1" si="2"/>
        <v>3257</v>
      </c>
      <c r="E18" s="2">
        <f t="shared" ca="1" si="1"/>
        <v>9147</v>
      </c>
    </row>
    <row r="19" spans="1:5" x14ac:dyDescent="0.25">
      <c r="A19" s="1" t="s">
        <v>26</v>
      </c>
      <c r="B19" s="1" t="s">
        <v>7</v>
      </c>
      <c r="C19" s="1">
        <f t="shared" si="0"/>
        <v>5890</v>
      </c>
      <c r="D19" s="1">
        <f t="shared" ca="1" si="2"/>
        <v>1572</v>
      </c>
      <c r="E19" s="2">
        <f t="shared" ca="1" si="1"/>
        <v>7462</v>
      </c>
    </row>
    <row r="20" spans="1:5" x14ac:dyDescent="0.25">
      <c r="A20" s="1" t="s">
        <v>27</v>
      </c>
      <c r="B20" s="1" t="s">
        <v>7</v>
      </c>
      <c r="C20" s="1">
        <f t="shared" si="0"/>
        <v>5890</v>
      </c>
      <c r="D20" s="1">
        <f t="shared" ca="1" si="2"/>
        <v>1308</v>
      </c>
      <c r="E20" s="2">
        <f t="shared" ca="1" si="1"/>
        <v>7198</v>
      </c>
    </row>
    <row r="21" spans="1:5" x14ac:dyDescent="0.25">
      <c r="A21" s="1" t="s">
        <v>28</v>
      </c>
      <c r="B21" s="1" t="s">
        <v>6</v>
      </c>
      <c r="C21" s="1">
        <f t="shared" si="0"/>
        <v>6890</v>
      </c>
      <c r="D21" s="1">
        <f t="shared" ca="1" si="2"/>
        <v>3915</v>
      </c>
      <c r="E21" s="2">
        <f t="shared" ca="1" si="1"/>
        <v>10805</v>
      </c>
    </row>
    <row r="22" spans="1:5" x14ac:dyDescent="0.25">
      <c r="A22" s="1" t="s">
        <v>29</v>
      </c>
      <c r="B22" s="1" t="s">
        <v>7</v>
      </c>
      <c r="C22" s="1">
        <f t="shared" si="0"/>
        <v>5890</v>
      </c>
      <c r="D22" s="1">
        <f t="shared" ca="1" si="2"/>
        <v>6630</v>
      </c>
      <c r="E22" s="2">
        <f t="shared" ca="1" si="1"/>
        <v>12520</v>
      </c>
    </row>
    <row r="23" spans="1:5" x14ac:dyDescent="0.25">
      <c r="A23" s="1" t="s">
        <v>30</v>
      </c>
      <c r="B23" s="1" t="s">
        <v>8</v>
      </c>
      <c r="C23" s="1">
        <f t="shared" si="0"/>
        <v>6799</v>
      </c>
      <c r="D23" s="1">
        <f t="shared" ca="1" si="2"/>
        <v>3644</v>
      </c>
      <c r="E23" s="2">
        <f t="shared" ca="1" si="1"/>
        <v>10443</v>
      </c>
    </row>
    <row r="24" spans="1:5" x14ac:dyDescent="0.25">
      <c r="A24" s="1" t="s">
        <v>31</v>
      </c>
      <c r="B24" s="1" t="s">
        <v>5</v>
      </c>
      <c r="C24" s="1">
        <f t="shared" si="0"/>
        <v>7000</v>
      </c>
      <c r="D24" s="1">
        <f t="shared" ca="1" si="2"/>
        <v>1877</v>
      </c>
      <c r="E24" s="2">
        <f t="shared" ca="1" si="1"/>
        <v>8877</v>
      </c>
    </row>
    <row r="25" spans="1:5" x14ac:dyDescent="0.25">
      <c r="A25" s="1" t="s">
        <v>32</v>
      </c>
      <c r="B25" s="1" t="s">
        <v>6</v>
      </c>
      <c r="C25" s="1">
        <f t="shared" si="0"/>
        <v>6890</v>
      </c>
      <c r="D25" s="1">
        <f t="shared" ca="1" si="2"/>
        <v>1399</v>
      </c>
      <c r="E25" s="2">
        <f t="shared" ca="1" si="1"/>
        <v>8289</v>
      </c>
    </row>
    <row r="26" spans="1:5" x14ac:dyDescent="0.25">
      <c r="A26" s="1" t="s">
        <v>33</v>
      </c>
      <c r="B26" s="1" t="s">
        <v>5</v>
      </c>
      <c r="C26" s="1">
        <f t="shared" si="0"/>
        <v>7000</v>
      </c>
      <c r="D26" s="1">
        <f t="shared" ca="1" si="2"/>
        <v>6444</v>
      </c>
      <c r="E26" s="2">
        <f t="shared" ca="1" si="1"/>
        <v>13444</v>
      </c>
    </row>
    <row r="27" spans="1:5" x14ac:dyDescent="0.25">
      <c r="A27" s="1" t="s">
        <v>34</v>
      </c>
      <c r="B27" s="1" t="s">
        <v>6</v>
      </c>
      <c r="C27" s="1">
        <f t="shared" si="0"/>
        <v>6890</v>
      </c>
      <c r="D27" s="1">
        <f t="shared" ca="1" si="2"/>
        <v>1575</v>
      </c>
      <c r="E27" s="2">
        <f t="shared" ca="1" si="1"/>
        <v>8465</v>
      </c>
    </row>
    <row r="28" spans="1:5" x14ac:dyDescent="0.25">
      <c r="A28" s="1" t="s">
        <v>35</v>
      </c>
      <c r="B28" s="1" t="s">
        <v>8</v>
      </c>
      <c r="C28" s="1">
        <f t="shared" si="0"/>
        <v>6799</v>
      </c>
      <c r="D28" s="1">
        <f t="shared" ca="1" si="2"/>
        <v>2022</v>
      </c>
      <c r="E28" s="2">
        <f t="shared" ca="1" si="1"/>
        <v>8821</v>
      </c>
    </row>
    <row r="29" spans="1:5" x14ac:dyDescent="0.25">
      <c r="A29" s="1" t="s">
        <v>36</v>
      </c>
      <c r="B29" s="1" t="s">
        <v>7</v>
      </c>
      <c r="C29" s="1">
        <f t="shared" si="0"/>
        <v>5890</v>
      </c>
      <c r="D29" s="1">
        <f t="shared" ca="1" si="2"/>
        <v>3136</v>
      </c>
      <c r="E29" s="2">
        <f t="shared" ca="1" si="1"/>
        <v>9026</v>
      </c>
    </row>
    <row r="30" spans="1:5" x14ac:dyDescent="0.25">
      <c r="A30" s="1" t="s">
        <v>37</v>
      </c>
      <c r="B30" s="1" t="s">
        <v>9</v>
      </c>
      <c r="C30" s="1">
        <f t="shared" si="0"/>
        <v>8943</v>
      </c>
      <c r="D30" s="1">
        <f t="shared" ca="1" si="2"/>
        <v>3285</v>
      </c>
      <c r="E30" s="2">
        <f t="shared" ca="1" si="1"/>
        <v>12228</v>
      </c>
    </row>
    <row r="31" spans="1:5" x14ac:dyDescent="0.25">
      <c r="A31" s="1" t="s">
        <v>38</v>
      </c>
      <c r="B31" s="1" t="s">
        <v>9</v>
      </c>
      <c r="C31" s="1">
        <f t="shared" si="0"/>
        <v>8943</v>
      </c>
      <c r="D31" s="1">
        <f t="shared" ca="1" si="2"/>
        <v>2942</v>
      </c>
      <c r="E31" s="2">
        <f t="shared" ca="1" si="1"/>
        <v>11885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54FA5-67C2-4A1C-AA87-F97337291BAB}">
  <dimension ref="A1:I31"/>
  <sheetViews>
    <sheetView workbookViewId="0">
      <selection activeCell="E2" sqref="E2:E31"/>
    </sheetView>
  </sheetViews>
  <sheetFormatPr defaultRowHeight="13.8" x14ac:dyDescent="0.25"/>
  <cols>
    <col min="1" max="1" width="34" customWidth="1"/>
    <col min="2" max="2" width="17.09765625" customWidth="1"/>
    <col min="3" max="3" width="12.3984375" customWidth="1"/>
    <col min="5" max="5" width="16.59765625" customWidth="1"/>
    <col min="8" max="8" width="11.8984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25">
      <c r="A2" s="1" t="s">
        <v>40</v>
      </c>
      <c r="B2" s="2" t="s">
        <v>9</v>
      </c>
      <c r="C2" s="1">
        <f>VLOOKUP(B2,$H$4:$I$9,2,0)</f>
        <v>6784</v>
      </c>
      <c r="D2" s="1">
        <f ca="1">RANDBETWEEN(3000,7000)</f>
        <v>3417</v>
      </c>
      <c r="E2" s="2">
        <f ca="1">C2+D2</f>
        <v>10201</v>
      </c>
    </row>
    <row r="3" spans="1:9" x14ac:dyDescent="0.25">
      <c r="A3" s="1" t="s">
        <v>10</v>
      </c>
      <c r="B3" s="1" t="s">
        <v>6</v>
      </c>
      <c r="C3" s="1">
        <f t="shared" ref="C3:C31" si="0">VLOOKUP(B3,$H$4:$I$9,2,0)</f>
        <v>8923</v>
      </c>
      <c r="D3" s="1">
        <f t="shared" ref="D3:D31" ca="1" si="1">RANDBETWEEN(3000,7000)</f>
        <v>3779</v>
      </c>
      <c r="E3" s="2">
        <f t="shared" ref="E3:E31" ca="1" si="2">C3+D3</f>
        <v>12702</v>
      </c>
    </row>
    <row r="4" spans="1:9" x14ac:dyDescent="0.25">
      <c r="A4" s="1" t="s">
        <v>11</v>
      </c>
      <c r="B4" s="1" t="s">
        <v>8</v>
      </c>
      <c r="C4" s="1">
        <f t="shared" si="0"/>
        <v>6599</v>
      </c>
      <c r="D4" s="1">
        <f t="shared" ca="1" si="1"/>
        <v>3819</v>
      </c>
      <c r="E4" s="2">
        <f t="shared" ca="1" si="2"/>
        <v>10418</v>
      </c>
      <c r="H4" s="1" t="s">
        <v>1</v>
      </c>
      <c r="I4" s="1" t="s">
        <v>2</v>
      </c>
    </row>
    <row r="5" spans="1:9" x14ac:dyDescent="0.25">
      <c r="A5" s="1" t="s">
        <v>12</v>
      </c>
      <c r="B5" s="1" t="s">
        <v>9</v>
      </c>
      <c r="C5" s="1">
        <f t="shared" si="0"/>
        <v>6784</v>
      </c>
      <c r="D5" s="1">
        <f t="shared" ca="1" si="1"/>
        <v>4223</v>
      </c>
      <c r="E5" s="2">
        <f t="shared" ca="1" si="2"/>
        <v>11007</v>
      </c>
      <c r="H5" s="1" t="s">
        <v>5</v>
      </c>
      <c r="I5" s="1">
        <v>8903</v>
      </c>
    </row>
    <row r="6" spans="1:9" x14ac:dyDescent="0.25">
      <c r="A6" s="1" t="s">
        <v>13</v>
      </c>
      <c r="B6" s="1" t="s">
        <v>5</v>
      </c>
      <c r="C6" s="1">
        <f t="shared" si="0"/>
        <v>8903</v>
      </c>
      <c r="D6" s="1">
        <f t="shared" ca="1" si="1"/>
        <v>6777</v>
      </c>
      <c r="E6" s="2">
        <f t="shared" ca="1" si="2"/>
        <v>15680</v>
      </c>
      <c r="H6" s="1" t="s">
        <v>6</v>
      </c>
      <c r="I6" s="1">
        <v>8923</v>
      </c>
    </row>
    <row r="7" spans="1:9" x14ac:dyDescent="0.25">
      <c r="A7" s="1" t="s">
        <v>14</v>
      </c>
      <c r="B7" s="1" t="s">
        <v>6</v>
      </c>
      <c r="C7" s="1">
        <f t="shared" si="0"/>
        <v>8923</v>
      </c>
      <c r="D7" s="1">
        <f t="shared" ca="1" si="1"/>
        <v>3585</v>
      </c>
      <c r="E7" s="2">
        <f t="shared" ca="1" si="2"/>
        <v>12508</v>
      </c>
      <c r="H7" s="1" t="s">
        <v>7</v>
      </c>
      <c r="I7" s="1">
        <v>6798</v>
      </c>
    </row>
    <row r="8" spans="1:9" x14ac:dyDescent="0.25">
      <c r="A8" s="1" t="s">
        <v>15</v>
      </c>
      <c r="B8" s="1" t="s">
        <v>5</v>
      </c>
      <c r="C8" s="1">
        <f t="shared" si="0"/>
        <v>8903</v>
      </c>
      <c r="D8" s="1">
        <f t="shared" ca="1" si="1"/>
        <v>6871</v>
      </c>
      <c r="E8" s="2">
        <f t="shared" ca="1" si="2"/>
        <v>15774</v>
      </c>
      <c r="H8" s="1" t="s">
        <v>8</v>
      </c>
      <c r="I8" s="1">
        <v>6599</v>
      </c>
    </row>
    <row r="9" spans="1:9" x14ac:dyDescent="0.25">
      <c r="A9" s="1" t="s">
        <v>16</v>
      </c>
      <c r="B9" s="1" t="s">
        <v>9</v>
      </c>
      <c r="C9" s="1">
        <f t="shared" si="0"/>
        <v>6784</v>
      </c>
      <c r="D9" s="1">
        <f t="shared" ca="1" si="1"/>
        <v>5430</v>
      </c>
      <c r="E9" s="2">
        <f t="shared" ca="1" si="2"/>
        <v>12214</v>
      </c>
      <c r="H9" s="1" t="s">
        <v>9</v>
      </c>
      <c r="I9" s="1">
        <v>6784</v>
      </c>
    </row>
    <row r="10" spans="1:9" x14ac:dyDescent="0.25">
      <c r="A10" s="1" t="s">
        <v>17</v>
      </c>
      <c r="B10" s="1" t="s">
        <v>7</v>
      </c>
      <c r="C10" s="1">
        <f t="shared" si="0"/>
        <v>6798</v>
      </c>
      <c r="D10" s="1">
        <f t="shared" ca="1" si="1"/>
        <v>4431</v>
      </c>
      <c r="E10" s="2">
        <f t="shared" ca="1" si="2"/>
        <v>11229</v>
      </c>
    </row>
    <row r="11" spans="1:9" x14ac:dyDescent="0.25">
      <c r="A11" s="1" t="s">
        <v>18</v>
      </c>
      <c r="B11" s="1" t="s">
        <v>8</v>
      </c>
      <c r="C11" s="1">
        <f t="shared" si="0"/>
        <v>6599</v>
      </c>
      <c r="D11" s="1">
        <f t="shared" ca="1" si="1"/>
        <v>4242</v>
      </c>
      <c r="E11" s="2">
        <f t="shared" ca="1" si="2"/>
        <v>10841</v>
      </c>
    </row>
    <row r="12" spans="1:9" x14ac:dyDescent="0.25">
      <c r="A12" s="1" t="s">
        <v>19</v>
      </c>
      <c r="B12" s="1" t="s">
        <v>5</v>
      </c>
      <c r="C12" s="1">
        <f t="shared" si="0"/>
        <v>8903</v>
      </c>
      <c r="D12" s="1">
        <f t="shared" ca="1" si="1"/>
        <v>4089</v>
      </c>
      <c r="E12" s="2">
        <f t="shared" ca="1" si="2"/>
        <v>12992</v>
      </c>
    </row>
    <row r="13" spans="1:9" x14ac:dyDescent="0.25">
      <c r="A13" s="1" t="s">
        <v>20</v>
      </c>
      <c r="B13" s="1" t="s">
        <v>9</v>
      </c>
      <c r="C13" s="1">
        <f t="shared" si="0"/>
        <v>6784</v>
      </c>
      <c r="D13" s="1">
        <f t="shared" ca="1" si="1"/>
        <v>6154</v>
      </c>
      <c r="E13" s="2">
        <f t="shared" ca="1" si="2"/>
        <v>12938</v>
      </c>
    </row>
    <row r="14" spans="1:9" x14ac:dyDescent="0.25">
      <c r="A14" s="1" t="s">
        <v>21</v>
      </c>
      <c r="B14" s="1" t="s">
        <v>5</v>
      </c>
      <c r="C14" s="1">
        <f t="shared" si="0"/>
        <v>8903</v>
      </c>
      <c r="D14" s="1">
        <f t="shared" ca="1" si="1"/>
        <v>4515</v>
      </c>
      <c r="E14" s="2">
        <f t="shared" ca="1" si="2"/>
        <v>13418</v>
      </c>
    </row>
    <row r="15" spans="1:9" x14ac:dyDescent="0.25">
      <c r="A15" s="1" t="s">
        <v>22</v>
      </c>
      <c r="B15" s="1" t="s">
        <v>7</v>
      </c>
      <c r="C15" s="1">
        <f t="shared" si="0"/>
        <v>6798</v>
      </c>
      <c r="D15" s="1">
        <f t="shared" ca="1" si="1"/>
        <v>5374</v>
      </c>
      <c r="E15" s="2">
        <f t="shared" ca="1" si="2"/>
        <v>12172</v>
      </c>
    </row>
    <row r="16" spans="1:9" x14ac:dyDescent="0.25">
      <c r="A16" s="1" t="s">
        <v>23</v>
      </c>
      <c r="B16" s="1" t="s">
        <v>8</v>
      </c>
      <c r="C16" s="1">
        <f t="shared" si="0"/>
        <v>6599</v>
      </c>
      <c r="D16" s="1">
        <f t="shared" ca="1" si="1"/>
        <v>5806</v>
      </c>
      <c r="E16" s="2">
        <f t="shared" ca="1" si="2"/>
        <v>12405</v>
      </c>
    </row>
    <row r="17" spans="1:5" x14ac:dyDescent="0.25">
      <c r="A17" s="1" t="s">
        <v>24</v>
      </c>
      <c r="B17" s="1" t="s">
        <v>6</v>
      </c>
      <c r="C17" s="1">
        <f t="shared" si="0"/>
        <v>8923</v>
      </c>
      <c r="D17" s="1">
        <f t="shared" ca="1" si="1"/>
        <v>3214</v>
      </c>
      <c r="E17" s="2">
        <f t="shared" ca="1" si="2"/>
        <v>12137</v>
      </c>
    </row>
    <row r="18" spans="1:5" x14ac:dyDescent="0.25">
      <c r="A18" s="1" t="s">
        <v>25</v>
      </c>
      <c r="B18" s="1" t="s">
        <v>7</v>
      </c>
      <c r="C18" s="1">
        <f t="shared" si="0"/>
        <v>6798</v>
      </c>
      <c r="D18" s="1">
        <f t="shared" ca="1" si="1"/>
        <v>3882</v>
      </c>
      <c r="E18" s="2">
        <f t="shared" ca="1" si="2"/>
        <v>10680</v>
      </c>
    </row>
    <row r="19" spans="1:5" x14ac:dyDescent="0.25">
      <c r="A19" s="1" t="s">
        <v>26</v>
      </c>
      <c r="B19" s="1" t="s">
        <v>7</v>
      </c>
      <c r="C19" s="1">
        <f t="shared" si="0"/>
        <v>6798</v>
      </c>
      <c r="D19" s="1">
        <f t="shared" ca="1" si="1"/>
        <v>5933</v>
      </c>
      <c r="E19" s="2">
        <f t="shared" ca="1" si="2"/>
        <v>12731</v>
      </c>
    </row>
    <row r="20" spans="1:5" x14ac:dyDescent="0.25">
      <c r="A20" s="1" t="s">
        <v>27</v>
      </c>
      <c r="B20" s="1" t="s">
        <v>7</v>
      </c>
      <c r="C20" s="1">
        <f t="shared" si="0"/>
        <v>6798</v>
      </c>
      <c r="D20" s="1">
        <f t="shared" ca="1" si="1"/>
        <v>4435</v>
      </c>
      <c r="E20" s="2">
        <f t="shared" ca="1" si="2"/>
        <v>11233</v>
      </c>
    </row>
    <row r="21" spans="1:5" x14ac:dyDescent="0.25">
      <c r="A21" s="1" t="s">
        <v>28</v>
      </c>
      <c r="B21" s="1" t="s">
        <v>6</v>
      </c>
      <c r="C21" s="1">
        <f t="shared" si="0"/>
        <v>8923</v>
      </c>
      <c r="D21" s="1">
        <f t="shared" ca="1" si="1"/>
        <v>6842</v>
      </c>
      <c r="E21" s="2">
        <f t="shared" ca="1" si="2"/>
        <v>15765</v>
      </c>
    </row>
    <row r="22" spans="1:5" x14ac:dyDescent="0.25">
      <c r="A22" s="1" t="s">
        <v>29</v>
      </c>
      <c r="B22" s="1" t="s">
        <v>7</v>
      </c>
      <c r="C22" s="1">
        <f t="shared" si="0"/>
        <v>6798</v>
      </c>
      <c r="D22" s="1">
        <f t="shared" ca="1" si="1"/>
        <v>3728</v>
      </c>
      <c r="E22" s="2">
        <f t="shared" ca="1" si="2"/>
        <v>10526</v>
      </c>
    </row>
    <row r="23" spans="1:5" x14ac:dyDescent="0.25">
      <c r="A23" s="1" t="s">
        <v>30</v>
      </c>
      <c r="B23" s="1" t="s">
        <v>8</v>
      </c>
      <c r="C23" s="1">
        <f t="shared" si="0"/>
        <v>6599</v>
      </c>
      <c r="D23" s="1">
        <f t="shared" ca="1" si="1"/>
        <v>6059</v>
      </c>
      <c r="E23" s="2">
        <f t="shared" ca="1" si="2"/>
        <v>12658</v>
      </c>
    </row>
    <row r="24" spans="1:5" x14ac:dyDescent="0.25">
      <c r="A24" s="1" t="s">
        <v>31</v>
      </c>
      <c r="B24" s="1" t="s">
        <v>5</v>
      </c>
      <c r="C24" s="1">
        <f t="shared" si="0"/>
        <v>8903</v>
      </c>
      <c r="D24" s="1">
        <f t="shared" ca="1" si="1"/>
        <v>3644</v>
      </c>
      <c r="E24" s="2">
        <f t="shared" ca="1" si="2"/>
        <v>12547</v>
      </c>
    </row>
    <row r="25" spans="1:5" x14ac:dyDescent="0.25">
      <c r="A25" s="1" t="s">
        <v>32</v>
      </c>
      <c r="B25" s="1" t="s">
        <v>6</v>
      </c>
      <c r="C25" s="1">
        <f t="shared" si="0"/>
        <v>8923</v>
      </c>
      <c r="D25" s="1">
        <f t="shared" ca="1" si="1"/>
        <v>4884</v>
      </c>
      <c r="E25" s="2">
        <f t="shared" ca="1" si="2"/>
        <v>13807</v>
      </c>
    </row>
    <row r="26" spans="1:5" x14ac:dyDescent="0.25">
      <c r="A26" s="1" t="s">
        <v>33</v>
      </c>
      <c r="B26" s="1" t="s">
        <v>5</v>
      </c>
      <c r="C26" s="1">
        <f t="shared" si="0"/>
        <v>8903</v>
      </c>
      <c r="D26" s="1">
        <f t="shared" ca="1" si="1"/>
        <v>5065</v>
      </c>
      <c r="E26" s="2">
        <f t="shared" ca="1" si="2"/>
        <v>13968</v>
      </c>
    </row>
    <row r="27" spans="1:5" x14ac:dyDescent="0.25">
      <c r="A27" s="1" t="s">
        <v>34</v>
      </c>
      <c r="B27" s="1" t="s">
        <v>6</v>
      </c>
      <c r="C27" s="1">
        <f t="shared" si="0"/>
        <v>8923</v>
      </c>
      <c r="D27" s="1">
        <f t="shared" ca="1" si="1"/>
        <v>3151</v>
      </c>
      <c r="E27" s="2">
        <f t="shared" ca="1" si="2"/>
        <v>12074</v>
      </c>
    </row>
    <row r="28" spans="1:5" x14ac:dyDescent="0.25">
      <c r="A28" s="1" t="s">
        <v>35</v>
      </c>
      <c r="B28" s="1" t="s">
        <v>8</v>
      </c>
      <c r="C28" s="1">
        <f t="shared" si="0"/>
        <v>6599</v>
      </c>
      <c r="D28" s="1">
        <f t="shared" ca="1" si="1"/>
        <v>4433</v>
      </c>
      <c r="E28" s="2">
        <f t="shared" ca="1" si="2"/>
        <v>11032</v>
      </c>
    </row>
    <row r="29" spans="1:5" x14ac:dyDescent="0.25">
      <c r="A29" s="1" t="s">
        <v>36</v>
      </c>
      <c r="B29" s="2" t="s">
        <v>7</v>
      </c>
      <c r="C29" s="1">
        <f t="shared" si="0"/>
        <v>6798</v>
      </c>
      <c r="D29" s="1">
        <f t="shared" ca="1" si="1"/>
        <v>3361</v>
      </c>
      <c r="E29" s="2">
        <f t="shared" ca="1" si="2"/>
        <v>10159</v>
      </c>
    </row>
    <row r="30" spans="1:5" x14ac:dyDescent="0.25">
      <c r="A30" s="1" t="s">
        <v>37</v>
      </c>
      <c r="B30" s="1" t="s">
        <v>9</v>
      </c>
      <c r="C30" s="1">
        <f t="shared" si="0"/>
        <v>6784</v>
      </c>
      <c r="D30" s="1">
        <f t="shared" ca="1" si="1"/>
        <v>4013</v>
      </c>
      <c r="E30" s="2">
        <f t="shared" ca="1" si="2"/>
        <v>10797</v>
      </c>
    </row>
    <row r="31" spans="1:5" x14ac:dyDescent="0.25">
      <c r="A31" s="1" t="s">
        <v>38</v>
      </c>
      <c r="B31" s="1" t="s">
        <v>9</v>
      </c>
      <c r="C31" s="1">
        <f t="shared" si="0"/>
        <v>6784</v>
      </c>
      <c r="D31" s="1">
        <f t="shared" ca="1" si="1"/>
        <v>3491</v>
      </c>
      <c r="E31" s="2">
        <f t="shared" ca="1" si="2"/>
        <v>10275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C52A7-70B5-466D-A087-EF05E8C3FA51}">
  <dimension ref="A1:I31"/>
  <sheetViews>
    <sheetView workbookViewId="0">
      <selection activeCell="E2" sqref="E2:E31"/>
    </sheetView>
  </sheetViews>
  <sheetFormatPr defaultRowHeight="13.8" x14ac:dyDescent="0.25"/>
  <cols>
    <col min="1" max="1" width="34" customWidth="1"/>
    <col min="2" max="2" width="17.09765625" customWidth="1"/>
    <col min="3" max="3" width="12.3984375" customWidth="1"/>
    <col min="5" max="5" width="16.59765625" customWidth="1"/>
    <col min="8" max="8" width="11.8984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25">
      <c r="A2" s="1" t="s">
        <v>40</v>
      </c>
      <c r="B2" s="2" t="s">
        <v>9</v>
      </c>
      <c r="C2" s="1">
        <f>VLOOKUP(B2,$H$4:$I$9,2,0)</f>
        <v>6778</v>
      </c>
      <c r="D2" s="1">
        <f ca="1">RANDBETWEEN(3000,7000)</f>
        <v>5034</v>
      </c>
      <c r="E2" s="2">
        <f ca="1">C2+D2</f>
        <v>11812</v>
      </c>
    </row>
    <row r="3" spans="1:9" x14ac:dyDescent="0.25">
      <c r="A3" s="1" t="s">
        <v>10</v>
      </c>
      <c r="B3" s="1" t="s">
        <v>6</v>
      </c>
      <c r="C3" s="1">
        <f t="shared" ref="C3:C31" si="0">VLOOKUP(B3,$H$4:$I$9,2,0)</f>
        <v>4983</v>
      </c>
      <c r="D3" s="1">
        <f t="shared" ref="D3:D31" ca="1" si="1">RANDBETWEEN(3000,7000)</f>
        <v>4764</v>
      </c>
      <c r="E3" s="2">
        <f t="shared" ref="E3:E31" ca="1" si="2">C3+D3</f>
        <v>9747</v>
      </c>
    </row>
    <row r="4" spans="1:9" x14ac:dyDescent="0.25">
      <c r="A4" s="1" t="s">
        <v>11</v>
      </c>
      <c r="B4" s="1" t="s">
        <v>8</v>
      </c>
      <c r="C4" s="1">
        <f t="shared" si="0"/>
        <v>7673</v>
      </c>
      <c r="D4" s="1">
        <f t="shared" ca="1" si="1"/>
        <v>5101</v>
      </c>
      <c r="E4" s="2">
        <f t="shared" ca="1" si="2"/>
        <v>12774</v>
      </c>
      <c r="H4" s="1" t="s">
        <v>1</v>
      </c>
      <c r="I4" s="1" t="s">
        <v>2</v>
      </c>
    </row>
    <row r="5" spans="1:9" x14ac:dyDescent="0.25">
      <c r="A5" s="1" t="s">
        <v>12</v>
      </c>
      <c r="B5" s="1" t="s">
        <v>9</v>
      </c>
      <c r="C5" s="1">
        <f t="shared" si="0"/>
        <v>6778</v>
      </c>
      <c r="D5" s="1">
        <f t="shared" ca="1" si="1"/>
        <v>6960</v>
      </c>
      <c r="E5" s="2">
        <f t="shared" ca="1" si="2"/>
        <v>13738</v>
      </c>
      <c r="H5" s="1" t="s">
        <v>5</v>
      </c>
      <c r="I5" s="1">
        <v>8973</v>
      </c>
    </row>
    <row r="6" spans="1:9" x14ac:dyDescent="0.25">
      <c r="A6" s="1" t="s">
        <v>13</v>
      </c>
      <c r="B6" s="1" t="s">
        <v>5</v>
      </c>
      <c r="C6" s="1">
        <f t="shared" si="0"/>
        <v>8973</v>
      </c>
      <c r="D6" s="1">
        <f t="shared" ca="1" si="1"/>
        <v>4422</v>
      </c>
      <c r="E6" s="2">
        <f t="shared" ca="1" si="2"/>
        <v>13395</v>
      </c>
      <c r="H6" s="1" t="s">
        <v>6</v>
      </c>
      <c r="I6" s="1">
        <v>4983</v>
      </c>
    </row>
    <row r="7" spans="1:9" x14ac:dyDescent="0.25">
      <c r="A7" s="1" t="s">
        <v>14</v>
      </c>
      <c r="B7" s="1" t="s">
        <v>6</v>
      </c>
      <c r="C7" s="1">
        <f t="shared" si="0"/>
        <v>4983</v>
      </c>
      <c r="D7" s="1">
        <f t="shared" ca="1" si="1"/>
        <v>6042</v>
      </c>
      <c r="E7" s="2">
        <f t="shared" ca="1" si="2"/>
        <v>11025</v>
      </c>
      <c r="H7" s="1" t="s">
        <v>7</v>
      </c>
      <c r="I7" s="1">
        <v>8743</v>
      </c>
    </row>
    <row r="8" spans="1:9" x14ac:dyDescent="0.25">
      <c r="A8" s="1" t="s">
        <v>15</v>
      </c>
      <c r="B8" s="1" t="s">
        <v>5</v>
      </c>
      <c r="C8" s="1">
        <f t="shared" si="0"/>
        <v>8973</v>
      </c>
      <c r="D8" s="1">
        <f t="shared" ca="1" si="1"/>
        <v>6341</v>
      </c>
      <c r="E8" s="2">
        <f t="shared" ca="1" si="2"/>
        <v>15314</v>
      </c>
      <c r="H8" s="1" t="s">
        <v>8</v>
      </c>
      <c r="I8" s="1">
        <v>7673</v>
      </c>
    </row>
    <row r="9" spans="1:9" x14ac:dyDescent="0.25">
      <c r="A9" s="1" t="s">
        <v>16</v>
      </c>
      <c r="B9" s="1" t="s">
        <v>9</v>
      </c>
      <c r="C9" s="1">
        <f t="shared" si="0"/>
        <v>6778</v>
      </c>
      <c r="D9" s="1">
        <f t="shared" ca="1" si="1"/>
        <v>6137</v>
      </c>
      <c r="E9" s="2">
        <f t="shared" ca="1" si="2"/>
        <v>12915</v>
      </c>
      <c r="H9" s="1" t="s">
        <v>9</v>
      </c>
      <c r="I9" s="1">
        <v>6778</v>
      </c>
    </row>
    <row r="10" spans="1:9" x14ac:dyDescent="0.25">
      <c r="A10" s="1" t="s">
        <v>17</v>
      </c>
      <c r="B10" s="1" t="s">
        <v>7</v>
      </c>
      <c r="C10" s="1">
        <f t="shared" si="0"/>
        <v>8743</v>
      </c>
      <c r="D10" s="1">
        <f t="shared" ca="1" si="1"/>
        <v>4166</v>
      </c>
      <c r="E10" s="2">
        <f t="shared" ca="1" si="2"/>
        <v>12909</v>
      </c>
    </row>
    <row r="11" spans="1:9" x14ac:dyDescent="0.25">
      <c r="A11" s="1" t="s">
        <v>18</v>
      </c>
      <c r="B11" s="1" t="s">
        <v>8</v>
      </c>
      <c r="C11" s="1">
        <f t="shared" si="0"/>
        <v>7673</v>
      </c>
      <c r="D11" s="1">
        <f t="shared" ca="1" si="1"/>
        <v>5818</v>
      </c>
      <c r="E11" s="2">
        <f t="shared" ca="1" si="2"/>
        <v>13491</v>
      </c>
    </row>
    <row r="12" spans="1:9" x14ac:dyDescent="0.25">
      <c r="A12" s="1" t="s">
        <v>19</v>
      </c>
      <c r="B12" s="1" t="s">
        <v>5</v>
      </c>
      <c r="C12" s="1">
        <f t="shared" si="0"/>
        <v>8973</v>
      </c>
      <c r="D12" s="1">
        <f t="shared" ca="1" si="1"/>
        <v>4823</v>
      </c>
      <c r="E12" s="2">
        <f t="shared" ca="1" si="2"/>
        <v>13796</v>
      </c>
    </row>
    <row r="13" spans="1:9" x14ac:dyDescent="0.25">
      <c r="A13" s="1" t="s">
        <v>20</v>
      </c>
      <c r="B13" s="1" t="s">
        <v>9</v>
      </c>
      <c r="C13" s="1">
        <f t="shared" si="0"/>
        <v>6778</v>
      </c>
      <c r="D13" s="1">
        <f t="shared" ca="1" si="1"/>
        <v>3920</v>
      </c>
      <c r="E13" s="2">
        <f t="shared" ca="1" si="2"/>
        <v>10698</v>
      </c>
    </row>
    <row r="14" spans="1:9" x14ac:dyDescent="0.25">
      <c r="A14" s="1" t="s">
        <v>21</v>
      </c>
      <c r="B14" s="1" t="s">
        <v>5</v>
      </c>
      <c r="C14" s="1">
        <f t="shared" si="0"/>
        <v>8973</v>
      </c>
      <c r="D14" s="1">
        <f t="shared" ca="1" si="1"/>
        <v>3054</v>
      </c>
      <c r="E14" s="2">
        <f t="shared" ca="1" si="2"/>
        <v>12027</v>
      </c>
    </row>
    <row r="15" spans="1:9" x14ac:dyDescent="0.25">
      <c r="A15" s="1" t="s">
        <v>22</v>
      </c>
      <c r="B15" s="1" t="s">
        <v>7</v>
      </c>
      <c r="C15" s="1">
        <f t="shared" si="0"/>
        <v>8743</v>
      </c>
      <c r="D15" s="1">
        <f t="shared" ca="1" si="1"/>
        <v>4501</v>
      </c>
      <c r="E15" s="2">
        <f t="shared" ca="1" si="2"/>
        <v>13244</v>
      </c>
    </row>
    <row r="16" spans="1:9" x14ac:dyDescent="0.25">
      <c r="A16" s="1" t="s">
        <v>23</v>
      </c>
      <c r="B16" s="1" t="s">
        <v>8</v>
      </c>
      <c r="C16" s="1">
        <f t="shared" si="0"/>
        <v>7673</v>
      </c>
      <c r="D16" s="1">
        <f t="shared" ca="1" si="1"/>
        <v>5153</v>
      </c>
      <c r="E16" s="2">
        <f t="shared" ca="1" si="2"/>
        <v>12826</v>
      </c>
    </row>
    <row r="17" spans="1:5" x14ac:dyDescent="0.25">
      <c r="A17" s="1" t="s">
        <v>24</v>
      </c>
      <c r="B17" s="1" t="s">
        <v>6</v>
      </c>
      <c r="C17" s="1">
        <f t="shared" si="0"/>
        <v>4983</v>
      </c>
      <c r="D17" s="1">
        <f t="shared" ca="1" si="1"/>
        <v>3962</v>
      </c>
      <c r="E17" s="2">
        <f t="shared" ca="1" si="2"/>
        <v>8945</v>
      </c>
    </row>
    <row r="18" spans="1:5" x14ac:dyDescent="0.25">
      <c r="A18" s="1" t="s">
        <v>25</v>
      </c>
      <c r="B18" s="1" t="s">
        <v>7</v>
      </c>
      <c r="C18" s="1">
        <f t="shared" si="0"/>
        <v>8743</v>
      </c>
      <c r="D18" s="1">
        <f t="shared" ca="1" si="1"/>
        <v>6600</v>
      </c>
      <c r="E18" s="2">
        <f t="shared" ca="1" si="2"/>
        <v>15343</v>
      </c>
    </row>
    <row r="19" spans="1:5" x14ac:dyDescent="0.25">
      <c r="A19" s="1" t="s">
        <v>26</v>
      </c>
      <c r="B19" s="1" t="s">
        <v>7</v>
      </c>
      <c r="C19" s="1">
        <f t="shared" si="0"/>
        <v>8743</v>
      </c>
      <c r="D19" s="1">
        <f t="shared" ca="1" si="1"/>
        <v>4638</v>
      </c>
      <c r="E19" s="2">
        <f t="shared" ca="1" si="2"/>
        <v>13381</v>
      </c>
    </row>
    <row r="20" spans="1:5" x14ac:dyDescent="0.25">
      <c r="A20" s="1" t="s">
        <v>27</v>
      </c>
      <c r="B20" s="1" t="s">
        <v>7</v>
      </c>
      <c r="C20" s="1">
        <f t="shared" si="0"/>
        <v>8743</v>
      </c>
      <c r="D20" s="1">
        <f t="shared" ca="1" si="1"/>
        <v>6360</v>
      </c>
      <c r="E20" s="2">
        <f t="shared" ca="1" si="2"/>
        <v>15103</v>
      </c>
    </row>
    <row r="21" spans="1:5" x14ac:dyDescent="0.25">
      <c r="A21" s="1" t="s">
        <v>28</v>
      </c>
      <c r="B21" s="1" t="s">
        <v>6</v>
      </c>
      <c r="C21" s="1">
        <f t="shared" si="0"/>
        <v>4983</v>
      </c>
      <c r="D21" s="1">
        <f t="shared" ca="1" si="1"/>
        <v>3545</v>
      </c>
      <c r="E21" s="2">
        <f t="shared" ca="1" si="2"/>
        <v>8528</v>
      </c>
    </row>
    <row r="22" spans="1:5" x14ac:dyDescent="0.25">
      <c r="A22" s="1" t="s">
        <v>29</v>
      </c>
      <c r="B22" s="1" t="s">
        <v>7</v>
      </c>
      <c r="C22" s="1">
        <f t="shared" si="0"/>
        <v>8743</v>
      </c>
      <c r="D22" s="1">
        <f t="shared" ca="1" si="1"/>
        <v>4903</v>
      </c>
      <c r="E22" s="2">
        <f t="shared" ca="1" si="2"/>
        <v>13646</v>
      </c>
    </row>
    <row r="23" spans="1:5" x14ac:dyDescent="0.25">
      <c r="A23" s="1" t="s">
        <v>30</v>
      </c>
      <c r="B23" s="1" t="s">
        <v>8</v>
      </c>
      <c r="C23" s="1">
        <f t="shared" si="0"/>
        <v>7673</v>
      </c>
      <c r="D23" s="1">
        <f t="shared" ca="1" si="1"/>
        <v>6781</v>
      </c>
      <c r="E23" s="2">
        <f t="shared" ca="1" si="2"/>
        <v>14454</v>
      </c>
    </row>
    <row r="24" spans="1:5" x14ac:dyDescent="0.25">
      <c r="A24" s="1" t="s">
        <v>31</v>
      </c>
      <c r="B24" s="1" t="s">
        <v>5</v>
      </c>
      <c r="C24" s="1">
        <f t="shared" si="0"/>
        <v>8973</v>
      </c>
      <c r="D24" s="1">
        <f t="shared" ca="1" si="1"/>
        <v>4481</v>
      </c>
      <c r="E24" s="2">
        <f t="shared" ca="1" si="2"/>
        <v>13454</v>
      </c>
    </row>
    <row r="25" spans="1:5" x14ac:dyDescent="0.25">
      <c r="A25" s="1" t="s">
        <v>32</v>
      </c>
      <c r="B25" s="1" t="s">
        <v>6</v>
      </c>
      <c r="C25" s="1">
        <f t="shared" si="0"/>
        <v>4983</v>
      </c>
      <c r="D25" s="1">
        <f t="shared" ca="1" si="1"/>
        <v>4524</v>
      </c>
      <c r="E25" s="2">
        <f t="shared" ca="1" si="2"/>
        <v>9507</v>
      </c>
    </row>
    <row r="26" spans="1:5" x14ac:dyDescent="0.25">
      <c r="A26" s="1" t="s">
        <v>33</v>
      </c>
      <c r="B26" s="1" t="s">
        <v>5</v>
      </c>
      <c r="C26" s="1">
        <f t="shared" si="0"/>
        <v>8973</v>
      </c>
      <c r="D26" s="1">
        <f t="shared" ca="1" si="1"/>
        <v>6090</v>
      </c>
      <c r="E26" s="2">
        <f t="shared" ca="1" si="2"/>
        <v>15063</v>
      </c>
    </row>
    <row r="27" spans="1:5" x14ac:dyDescent="0.25">
      <c r="A27" s="1" t="s">
        <v>34</v>
      </c>
      <c r="B27" s="1" t="s">
        <v>6</v>
      </c>
      <c r="C27" s="1">
        <f t="shared" si="0"/>
        <v>4983</v>
      </c>
      <c r="D27" s="1">
        <f t="shared" ca="1" si="1"/>
        <v>4393</v>
      </c>
      <c r="E27" s="2">
        <f t="shared" ca="1" si="2"/>
        <v>9376</v>
      </c>
    </row>
    <row r="28" spans="1:5" x14ac:dyDescent="0.25">
      <c r="A28" s="1" t="s">
        <v>35</v>
      </c>
      <c r="B28" s="1" t="s">
        <v>8</v>
      </c>
      <c r="C28" s="1">
        <f t="shared" si="0"/>
        <v>7673</v>
      </c>
      <c r="D28" s="1">
        <f t="shared" ca="1" si="1"/>
        <v>4080</v>
      </c>
      <c r="E28" s="2">
        <f t="shared" ca="1" si="2"/>
        <v>11753</v>
      </c>
    </row>
    <row r="29" spans="1:5" x14ac:dyDescent="0.25">
      <c r="A29" s="1" t="s">
        <v>36</v>
      </c>
      <c r="B29" s="2" t="s">
        <v>7</v>
      </c>
      <c r="C29" s="1">
        <f t="shared" si="0"/>
        <v>8743</v>
      </c>
      <c r="D29" s="1">
        <f t="shared" ca="1" si="1"/>
        <v>6046</v>
      </c>
      <c r="E29" s="2">
        <f t="shared" ca="1" si="2"/>
        <v>14789</v>
      </c>
    </row>
    <row r="30" spans="1:5" x14ac:dyDescent="0.25">
      <c r="A30" s="1" t="s">
        <v>37</v>
      </c>
      <c r="B30" s="1" t="s">
        <v>9</v>
      </c>
      <c r="C30" s="1">
        <f t="shared" si="0"/>
        <v>6778</v>
      </c>
      <c r="D30" s="1">
        <f t="shared" ca="1" si="1"/>
        <v>6082</v>
      </c>
      <c r="E30" s="2">
        <f t="shared" ca="1" si="2"/>
        <v>12860</v>
      </c>
    </row>
    <row r="31" spans="1:5" x14ac:dyDescent="0.25">
      <c r="A31" s="1" t="s">
        <v>38</v>
      </c>
      <c r="B31" s="1" t="s">
        <v>9</v>
      </c>
      <c r="C31" s="1">
        <f t="shared" si="0"/>
        <v>6778</v>
      </c>
      <c r="D31" s="1">
        <f t="shared" ca="1" si="1"/>
        <v>6956</v>
      </c>
      <c r="E31" s="2">
        <f t="shared" ca="1" si="2"/>
        <v>13734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9CA84-BFEC-421E-811A-1E22C17F3883}">
  <dimension ref="A1:I31"/>
  <sheetViews>
    <sheetView workbookViewId="0">
      <selection sqref="A1:B30"/>
    </sheetView>
  </sheetViews>
  <sheetFormatPr defaultRowHeight="13.8" x14ac:dyDescent="0.25"/>
  <cols>
    <col min="1" max="1" width="34" customWidth="1"/>
    <col min="2" max="2" width="17.09765625" customWidth="1"/>
    <col min="3" max="3" width="12.3984375" customWidth="1"/>
    <col min="5" max="5" width="16.59765625" customWidth="1"/>
    <col min="8" max="8" width="11.8984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25">
      <c r="A2" s="1" t="s">
        <v>40</v>
      </c>
      <c r="B2" s="2" t="s">
        <v>9</v>
      </c>
      <c r="C2" s="1">
        <f>VLOOKUP(B2,$H$4:$I$9,2,0)</f>
        <v>7444</v>
      </c>
      <c r="D2" s="1">
        <f ca="1">RANDBETWEEN(3000,7000)</f>
        <v>5725</v>
      </c>
      <c r="E2" s="2">
        <f ca="1">C2+D2</f>
        <v>13169</v>
      </c>
    </row>
    <row r="3" spans="1:9" x14ac:dyDescent="0.25">
      <c r="A3" s="1" t="s">
        <v>10</v>
      </c>
      <c r="B3" s="1" t="s">
        <v>6</v>
      </c>
      <c r="C3" s="1">
        <f t="shared" ref="C3:C31" si="0">VLOOKUP(B3,$H$4:$I$9,2,0)</f>
        <v>8732</v>
      </c>
      <c r="D3" s="1">
        <f t="shared" ref="D3:D31" ca="1" si="1">RANDBETWEEN(3000,7000)</f>
        <v>4848</v>
      </c>
      <c r="E3" s="2">
        <f t="shared" ref="E3:E31" ca="1" si="2">C3+D3</f>
        <v>13580</v>
      </c>
    </row>
    <row r="4" spans="1:9" x14ac:dyDescent="0.25">
      <c r="A4" s="1" t="s">
        <v>11</v>
      </c>
      <c r="B4" s="1" t="s">
        <v>8</v>
      </c>
      <c r="C4" s="1">
        <f t="shared" si="0"/>
        <v>9832</v>
      </c>
      <c r="D4" s="1">
        <f t="shared" ca="1" si="1"/>
        <v>5872</v>
      </c>
      <c r="E4" s="2">
        <f t="shared" ca="1" si="2"/>
        <v>15704</v>
      </c>
      <c r="H4" s="1" t="s">
        <v>1</v>
      </c>
      <c r="I4" s="1" t="s">
        <v>2</v>
      </c>
    </row>
    <row r="5" spans="1:9" x14ac:dyDescent="0.25">
      <c r="A5" s="1" t="s">
        <v>12</v>
      </c>
      <c r="B5" s="1" t="s">
        <v>9</v>
      </c>
      <c r="C5" s="1">
        <f t="shared" si="0"/>
        <v>7444</v>
      </c>
      <c r="D5" s="1">
        <f t="shared" ca="1" si="1"/>
        <v>5756</v>
      </c>
      <c r="E5" s="2">
        <f t="shared" ca="1" si="2"/>
        <v>13200</v>
      </c>
      <c r="H5" s="1" t="s">
        <v>5</v>
      </c>
      <c r="I5" s="1">
        <v>7632</v>
      </c>
    </row>
    <row r="6" spans="1:9" x14ac:dyDescent="0.25">
      <c r="A6" s="1" t="s">
        <v>13</v>
      </c>
      <c r="B6" s="1" t="s">
        <v>5</v>
      </c>
      <c r="C6" s="1">
        <f t="shared" si="0"/>
        <v>7632</v>
      </c>
      <c r="D6" s="1">
        <f t="shared" ca="1" si="1"/>
        <v>4142</v>
      </c>
      <c r="E6" s="2">
        <f t="shared" ca="1" si="2"/>
        <v>11774</v>
      </c>
      <c r="H6" s="1" t="s">
        <v>6</v>
      </c>
      <c r="I6" s="1">
        <v>8732</v>
      </c>
    </row>
    <row r="7" spans="1:9" x14ac:dyDescent="0.25">
      <c r="A7" s="1" t="s">
        <v>14</v>
      </c>
      <c r="B7" s="1" t="s">
        <v>6</v>
      </c>
      <c r="C7" s="1">
        <f t="shared" si="0"/>
        <v>8732</v>
      </c>
      <c r="D7" s="1">
        <f t="shared" ca="1" si="1"/>
        <v>4809</v>
      </c>
      <c r="E7" s="2">
        <f t="shared" ca="1" si="2"/>
        <v>13541</v>
      </c>
      <c r="H7" s="1" t="s">
        <v>7</v>
      </c>
      <c r="I7" s="1">
        <v>5672</v>
      </c>
    </row>
    <row r="8" spans="1:9" x14ac:dyDescent="0.25">
      <c r="A8" s="1" t="s">
        <v>15</v>
      </c>
      <c r="B8" s="1" t="s">
        <v>5</v>
      </c>
      <c r="C8" s="1">
        <f t="shared" si="0"/>
        <v>7632</v>
      </c>
      <c r="D8" s="1">
        <f t="shared" ca="1" si="1"/>
        <v>3940</v>
      </c>
      <c r="E8" s="2">
        <f t="shared" ca="1" si="2"/>
        <v>11572</v>
      </c>
      <c r="H8" s="1" t="s">
        <v>8</v>
      </c>
      <c r="I8" s="1">
        <v>9832</v>
      </c>
    </row>
    <row r="9" spans="1:9" x14ac:dyDescent="0.25">
      <c r="A9" s="1" t="s">
        <v>16</v>
      </c>
      <c r="B9" s="1" t="s">
        <v>9</v>
      </c>
      <c r="C9" s="1">
        <f t="shared" si="0"/>
        <v>7444</v>
      </c>
      <c r="D9" s="1">
        <f t="shared" ca="1" si="1"/>
        <v>5780</v>
      </c>
      <c r="E9" s="2">
        <f t="shared" ca="1" si="2"/>
        <v>13224</v>
      </c>
      <c r="H9" s="1" t="s">
        <v>9</v>
      </c>
      <c r="I9" s="1">
        <v>7444</v>
      </c>
    </row>
    <row r="10" spans="1:9" x14ac:dyDescent="0.25">
      <c r="A10" s="1" t="s">
        <v>17</v>
      </c>
      <c r="B10" s="1" t="s">
        <v>7</v>
      </c>
      <c r="C10" s="1">
        <f t="shared" si="0"/>
        <v>5672</v>
      </c>
      <c r="D10" s="1">
        <f t="shared" ca="1" si="1"/>
        <v>4720</v>
      </c>
      <c r="E10" s="2">
        <f t="shared" ca="1" si="2"/>
        <v>10392</v>
      </c>
    </row>
    <row r="11" spans="1:9" x14ac:dyDescent="0.25">
      <c r="A11" s="1" t="s">
        <v>18</v>
      </c>
      <c r="B11" s="1" t="s">
        <v>8</v>
      </c>
      <c r="C11" s="1">
        <f t="shared" si="0"/>
        <v>9832</v>
      </c>
      <c r="D11" s="1">
        <f t="shared" ca="1" si="1"/>
        <v>3773</v>
      </c>
      <c r="E11" s="2">
        <f t="shared" ca="1" si="2"/>
        <v>13605</v>
      </c>
    </row>
    <row r="12" spans="1:9" x14ac:dyDescent="0.25">
      <c r="A12" s="1" t="s">
        <v>19</v>
      </c>
      <c r="B12" s="1" t="s">
        <v>5</v>
      </c>
      <c r="C12" s="1">
        <f t="shared" si="0"/>
        <v>7632</v>
      </c>
      <c r="D12" s="1">
        <f t="shared" ca="1" si="1"/>
        <v>4462</v>
      </c>
      <c r="E12" s="2">
        <f t="shared" ca="1" si="2"/>
        <v>12094</v>
      </c>
    </row>
    <row r="13" spans="1:9" x14ac:dyDescent="0.25">
      <c r="A13" s="1" t="s">
        <v>20</v>
      </c>
      <c r="B13" s="1" t="s">
        <v>9</v>
      </c>
      <c r="C13" s="1">
        <f t="shared" si="0"/>
        <v>7444</v>
      </c>
      <c r="D13" s="1">
        <f t="shared" ca="1" si="1"/>
        <v>6325</v>
      </c>
      <c r="E13" s="2">
        <f t="shared" ca="1" si="2"/>
        <v>13769</v>
      </c>
    </row>
    <row r="14" spans="1:9" x14ac:dyDescent="0.25">
      <c r="A14" s="1" t="s">
        <v>21</v>
      </c>
      <c r="B14" s="1" t="s">
        <v>5</v>
      </c>
      <c r="C14" s="1">
        <f t="shared" si="0"/>
        <v>7632</v>
      </c>
      <c r="D14" s="1">
        <f t="shared" ca="1" si="1"/>
        <v>3671</v>
      </c>
      <c r="E14" s="2">
        <f t="shared" ca="1" si="2"/>
        <v>11303</v>
      </c>
    </row>
    <row r="15" spans="1:9" x14ac:dyDescent="0.25">
      <c r="A15" s="1" t="s">
        <v>22</v>
      </c>
      <c r="B15" s="1" t="s">
        <v>7</v>
      </c>
      <c r="C15" s="1">
        <f t="shared" si="0"/>
        <v>5672</v>
      </c>
      <c r="D15" s="1">
        <f t="shared" ca="1" si="1"/>
        <v>4445</v>
      </c>
      <c r="E15" s="2">
        <f t="shared" ca="1" si="2"/>
        <v>10117</v>
      </c>
    </row>
    <row r="16" spans="1:9" x14ac:dyDescent="0.25">
      <c r="A16" s="1" t="s">
        <v>23</v>
      </c>
      <c r="B16" s="1" t="s">
        <v>8</v>
      </c>
      <c r="C16" s="1">
        <f t="shared" si="0"/>
        <v>9832</v>
      </c>
      <c r="D16" s="1">
        <f t="shared" ca="1" si="1"/>
        <v>4622</v>
      </c>
      <c r="E16" s="2">
        <f t="shared" ca="1" si="2"/>
        <v>14454</v>
      </c>
    </row>
    <row r="17" spans="1:5" x14ac:dyDescent="0.25">
      <c r="A17" s="1" t="s">
        <v>24</v>
      </c>
      <c r="B17" s="1" t="s">
        <v>6</v>
      </c>
      <c r="C17" s="1">
        <f t="shared" si="0"/>
        <v>8732</v>
      </c>
      <c r="D17" s="1">
        <f t="shared" ca="1" si="1"/>
        <v>6531</v>
      </c>
      <c r="E17" s="2">
        <f t="shared" ca="1" si="2"/>
        <v>15263</v>
      </c>
    </row>
    <row r="18" spans="1:5" x14ac:dyDescent="0.25">
      <c r="A18" s="1" t="s">
        <v>25</v>
      </c>
      <c r="B18" s="1" t="s">
        <v>7</v>
      </c>
      <c r="C18" s="1">
        <f t="shared" si="0"/>
        <v>5672</v>
      </c>
      <c r="D18" s="1">
        <f t="shared" ca="1" si="1"/>
        <v>4120</v>
      </c>
      <c r="E18" s="2">
        <f t="shared" ca="1" si="2"/>
        <v>9792</v>
      </c>
    </row>
    <row r="19" spans="1:5" x14ac:dyDescent="0.25">
      <c r="A19" s="1" t="s">
        <v>26</v>
      </c>
      <c r="B19" s="1" t="s">
        <v>7</v>
      </c>
      <c r="C19" s="1">
        <f t="shared" si="0"/>
        <v>5672</v>
      </c>
      <c r="D19" s="1">
        <f t="shared" ca="1" si="1"/>
        <v>3641</v>
      </c>
      <c r="E19" s="2">
        <f t="shared" ca="1" si="2"/>
        <v>9313</v>
      </c>
    </row>
    <row r="20" spans="1:5" x14ac:dyDescent="0.25">
      <c r="A20" s="1" t="s">
        <v>27</v>
      </c>
      <c r="B20" s="1" t="s">
        <v>7</v>
      </c>
      <c r="C20" s="1">
        <f t="shared" si="0"/>
        <v>5672</v>
      </c>
      <c r="D20" s="1">
        <f t="shared" ca="1" si="1"/>
        <v>3167</v>
      </c>
      <c r="E20" s="2">
        <f t="shared" ca="1" si="2"/>
        <v>8839</v>
      </c>
    </row>
    <row r="21" spans="1:5" x14ac:dyDescent="0.25">
      <c r="A21" s="1" t="s">
        <v>28</v>
      </c>
      <c r="B21" s="1" t="s">
        <v>6</v>
      </c>
      <c r="C21" s="1">
        <f t="shared" si="0"/>
        <v>8732</v>
      </c>
      <c r="D21" s="1">
        <f t="shared" ca="1" si="1"/>
        <v>5773</v>
      </c>
      <c r="E21" s="2">
        <f t="shared" ca="1" si="2"/>
        <v>14505</v>
      </c>
    </row>
    <row r="22" spans="1:5" x14ac:dyDescent="0.25">
      <c r="A22" s="1" t="s">
        <v>29</v>
      </c>
      <c r="B22" s="1" t="s">
        <v>7</v>
      </c>
      <c r="C22" s="1">
        <f t="shared" si="0"/>
        <v>5672</v>
      </c>
      <c r="D22" s="1">
        <f t="shared" ca="1" si="1"/>
        <v>4920</v>
      </c>
      <c r="E22" s="2">
        <f t="shared" ca="1" si="2"/>
        <v>10592</v>
      </c>
    </row>
    <row r="23" spans="1:5" x14ac:dyDescent="0.25">
      <c r="A23" s="1" t="s">
        <v>30</v>
      </c>
      <c r="B23" s="1" t="s">
        <v>8</v>
      </c>
      <c r="C23" s="1">
        <f t="shared" si="0"/>
        <v>9832</v>
      </c>
      <c r="D23" s="1">
        <f t="shared" ca="1" si="1"/>
        <v>3604</v>
      </c>
      <c r="E23" s="2">
        <f t="shared" ca="1" si="2"/>
        <v>13436</v>
      </c>
    </row>
    <row r="24" spans="1:5" x14ac:dyDescent="0.25">
      <c r="A24" s="1" t="s">
        <v>31</v>
      </c>
      <c r="B24" s="1" t="s">
        <v>5</v>
      </c>
      <c r="C24" s="1">
        <f t="shared" si="0"/>
        <v>7632</v>
      </c>
      <c r="D24" s="1">
        <f t="shared" ca="1" si="1"/>
        <v>3841</v>
      </c>
      <c r="E24" s="2">
        <f t="shared" ca="1" si="2"/>
        <v>11473</v>
      </c>
    </row>
    <row r="25" spans="1:5" x14ac:dyDescent="0.25">
      <c r="A25" s="1" t="s">
        <v>32</v>
      </c>
      <c r="B25" s="1" t="s">
        <v>6</v>
      </c>
      <c r="C25" s="1">
        <f t="shared" si="0"/>
        <v>8732</v>
      </c>
      <c r="D25" s="1">
        <f t="shared" ca="1" si="1"/>
        <v>4692</v>
      </c>
      <c r="E25" s="2">
        <f t="shared" ca="1" si="2"/>
        <v>13424</v>
      </c>
    </row>
    <row r="26" spans="1:5" x14ac:dyDescent="0.25">
      <c r="A26" s="1" t="s">
        <v>33</v>
      </c>
      <c r="B26" s="1" t="s">
        <v>5</v>
      </c>
      <c r="C26" s="1">
        <f t="shared" si="0"/>
        <v>7632</v>
      </c>
      <c r="D26" s="1">
        <f t="shared" ca="1" si="1"/>
        <v>6930</v>
      </c>
      <c r="E26" s="2">
        <f t="shared" ca="1" si="2"/>
        <v>14562</v>
      </c>
    </row>
    <row r="27" spans="1:5" x14ac:dyDescent="0.25">
      <c r="A27" s="1" t="s">
        <v>34</v>
      </c>
      <c r="B27" s="1" t="s">
        <v>6</v>
      </c>
      <c r="C27" s="1">
        <f t="shared" si="0"/>
        <v>8732</v>
      </c>
      <c r="D27" s="1">
        <f t="shared" ca="1" si="1"/>
        <v>4597</v>
      </c>
      <c r="E27" s="2">
        <f t="shared" ca="1" si="2"/>
        <v>13329</v>
      </c>
    </row>
    <row r="28" spans="1:5" x14ac:dyDescent="0.25">
      <c r="A28" s="1" t="s">
        <v>35</v>
      </c>
      <c r="B28" s="1" t="s">
        <v>8</v>
      </c>
      <c r="C28" s="1">
        <f t="shared" si="0"/>
        <v>9832</v>
      </c>
      <c r="D28" s="1">
        <f t="shared" ca="1" si="1"/>
        <v>5848</v>
      </c>
      <c r="E28" s="2">
        <f t="shared" ca="1" si="2"/>
        <v>15680</v>
      </c>
    </row>
    <row r="29" spans="1:5" x14ac:dyDescent="0.25">
      <c r="A29" s="1" t="s">
        <v>36</v>
      </c>
      <c r="B29" s="2" t="s">
        <v>7</v>
      </c>
      <c r="C29" s="1">
        <f t="shared" si="0"/>
        <v>5672</v>
      </c>
      <c r="D29" s="1">
        <f t="shared" ca="1" si="1"/>
        <v>6009</v>
      </c>
      <c r="E29" s="2">
        <f t="shared" ca="1" si="2"/>
        <v>11681</v>
      </c>
    </row>
    <row r="30" spans="1:5" x14ac:dyDescent="0.25">
      <c r="A30" s="1" t="s">
        <v>37</v>
      </c>
      <c r="B30" s="1" t="s">
        <v>9</v>
      </c>
      <c r="C30" s="1">
        <f t="shared" si="0"/>
        <v>7444</v>
      </c>
      <c r="D30" s="1">
        <f t="shared" ca="1" si="1"/>
        <v>4561</v>
      </c>
      <c r="E30" s="2">
        <f t="shared" ca="1" si="2"/>
        <v>12005</v>
      </c>
    </row>
    <row r="31" spans="1:5" x14ac:dyDescent="0.25">
      <c r="A31" s="1" t="s">
        <v>38</v>
      </c>
      <c r="B31" s="1" t="s">
        <v>9</v>
      </c>
      <c r="C31" s="1">
        <f t="shared" si="0"/>
        <v>7444</v>
      </c>
      <c r="D31" s="1">
        <f t="shared" ca="1" si="1"/>
        <v>3203</v>
      </c>
      <c r="E31" s="2">
        <f t="shared" ca="1" si="2"/>
        <v>10647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050AC-FEF1-42F5-A60A-0ADE0FD33B43}">
  <dimension ref="A1:N38"/>
  <sheetViews>
    <sheetView zoomScale="73" zoomScaleNormal="73" workbookViewId="0">
      <selection sqref="A1:C30"/>
    </sheetView>
  </sheetViews>
  <sheetFormatPr defaultRowHeight="13.8" x14ac:dyDescent="0.25"/>
  <cols>
    <col min="1" max="1" width="34.296875" customWidth="1"/>
    <col min="2" max="2" width="11.69921875" customWidth="1"/>
    <col min="3" max="3" width="10.09765625" bestFit="1" customWidth="1"/>
    <col min="14" max="14" width="11.296875" customWidth="1"/>
  </cols>
  <sheetData>
    <row r="1" spans="1:14" x14ac:dyDescent="0.25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44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55</v>
      </c>
    </row>
    <row r="2" spans="1:14" x14ac:dyDescent="0.25">
      <c r="A2" s="1" t="s">
        <v>40</v>
      </c>
      <c r="B2" s="1">
        <f ca="1">Январь!E2</f>
        <v>6215</v>
      </c>
      <c r="C2" s="1">
        <f>Фераль!E2</f>
        <v>10381</v>
      </c>
      <c r="D2" s="1">
        <f ca="1">Март!E2</f>
        <v>8836</v>
      </c>
      <c r="E2" s="1">
        <f ca="1">Апрель!E2</f>
        <v>10096</v>
      </c>
      <c r="F2" s="1">
        <f ca="1">Март!E2</f>
        <v>8836</v>
      </c>
      <c r="G2" s="1">
        <f ca="1">Июнь!E2</f>
        <v>8789</v>
      </c>
      <c r="H2" s="1">
        <f ca="1">Июль!E2</f>
        <v>11196</v>
      </c>
      <c r="I2" s="1">
        <f ca="1">Август!E2</f>
        <v>8239</v>
      </c>
      <c r="J2" s="1">
        <f ca="1">Сентябрь!E2</f>
        <v>12122</v>
      </c>
      <c r="K2" s="1">
        <f ca="1">Октябрь!E2</f>
        <v>10201</v>
      </c>
      <c r="L2" s="1">
        <f ca="1">Ноябрь!E2</f>
        <v>11812</v>
      </c>
      <c r="M2" s="1">
        <f ca="1">Декабрь!E2</f>
        <v>13169</v>
      </c>
      <c r="N2" s="1">
        <f ca="1">B2+C2+D2+E2+F2+G2+H2+I2+J2+K2+L2+M2</f>
        <v>119892</v>
      </c>
    </row>
    <row r="3" spans="1:14" x14ac:dyDescent="0.25">
      <c r="A3" s="1" t="s">
        <v>10</v>
      </c>
      <c r="B3" s="1">
        <f ca="1">Январь!E3</f>
        <v>10732</v>
      </c>
      <c r="C3" s="1">
        <f>Фераль!E3</f>
        <v>10381</v>
      </c>
      <c r="D3" s="1">
        <f ca="1">Март!E3</f>
        <v>9359</v>
      </c>
      <c r="E3" s="1">
        <f ca="1">Апрель!E3</f>
        <v>7955</v>
      </c>
      <c r="F3" s="1">
        <f ca="1">Март!E3</f>
        <v>9359</v>
      </c>
      <c r="G3" s="1">
        <f ca="1">Июнь!E3</f>
        <v>11716</v>
      </c>
      <c r="H3" s="1">
        <f ca="1">Июль!E3</f>
        <v>11730</v>
      </c>
      <c r="I3" s="1">
        <f ca="1">Август!E3</f>
        <v>9788</v>
      </c>
      <c r="J3" s="1">
        <f ca="1">Сентябрь!E3</f>
        <v>10523</v>
      </c>
      <c r="K3" s="1">
        <f ca="1">Октябрь!E3</f>
        <v>12702</v>
      </c>
      <c r="L3" s="1">
        <f ca="1">Ноябрь!E3</f>
        <v>9747</v>
      </c>
      <c r="M3" s="1">
        <f ca="1">Декабрь!E3</f>
        <v>13580</v>
      </c>
      <c r="N3" s="1">
        <f t="shared" ref="N3:N31" ca="1" si="0">B3+C3+D3+E3+F3+G3+H3+I3+J3+K3+L3+M3</f>
        <v>127572</v>
      </c>
    </row>
    <row r="4" spans="1:14" x14ac:dyDescent="0.25">
      <c r="A4" s="1" t="s">
        <v>11</v>
      </c>
      <c r="B4" s="1">
        <f ca="1">Январь!E4</f>
        <v>5370</v>
      </c>
      <c r="C4" s="1">
        <f>Фераль!E4</f>
        <v>8251</v>
      </c>
      <c r="D4" s="1">
        <f ca="1">Март!E4</f>
        <v>11135</v>
      </c>
      <c r="E4" s="1">
        <f ca="1">Апрель!E4</f>
        <v>9415</v>
      </c>
      <c r="F4" s="1">
        <f ca="1">Март!E4</f>
        <v>11135</v>
      </c>
      <c r="G4" s="1">
        <f ca="1">Июнь!E4</f>
        <v>10086</v>
      </c>
      <c r="H4" s="1">
        <f ca="1">Июль!E4</f>
        <v>12585</v>
      </c>
      <c r="I4" s="1">
        <f ca="1">Август!E4</f>
        <v>12820</v>
      </c>
      <c r="J4" s="1">
        <f ca="1">Сентябрь!E4</f>
        <v>11328</v>
      </c>
      <c r="K4" s="1">
        <f ca="1">Октябрь!E4</f>
        <v>10418</v>
      </c>
      <c r="L4" s="1">
        <f ca="1">Ноябрь!E4</f>
        <v>12774</v>
      </c>
      <c r="M4" s="1">
        <f ca="1">Декабрь!E4</f>
        <v>15704</v>
      </c>
      <c r="N4" s="1">
        <f t="shared" ca="1" si="0"/>
        <v>131021</v>
      </c>
    </row>
    <row r="5" spans="1:14" x14ac:dyDescent="0.25">
      <c r="A5" s="1" t="s">
        <v>12</v>
      </c>
      <c r="B5" s="1">
        <f ca="1">Январь!E5</f>
        <v>8328</v>
      </c>
      <c r="C5" s="1">
        <f>Фераль!E5</f>
        <v>6712</v>
      </c>
      <c r="D5" s="1">
        <f ca="1">Март!E5</f>
        <v>10376</v>
      </c>
      <c r="E5" s="1">
        <f ca="1">Апрель!E5</f>
        <v>9589</v>
      </c>
      <c r="F5" s="1">
        <f ca="1">Март!E5</f>
        <v>10376</v>
      </c>
      <c r="G5" s="1">
        <f ca="1">Июнь!E5</f>
        <v>9905</v>
      </c>
      <c r="H5" s="1">
        <f ca="1">Июль!E5</f>
        <v>12148</v>
      </c>
      <c r="I5" s="1">
        <f ca="1">Август!E5</f>
        <v>10605</v>
      </c>
      <c r="J5" s="1">
        <f ca="1">Сентябрь!E5</f>
        <v>14025</v>
      </c>
      <c r="K5" s="1">
        <f ca="1">Октябрь!E5</f>
        <v>11007</v>
      </c>
      <c r="L5" s="1">
        <f ca="1">Ноябрь!E5</f>
        <v>13738</v>
      </c>
      <c r="M5" s="1">
        <f ca="1">Декабрь!E5</f>
        <v>13200</v>
      </c>
      <c r="N5" s="1">
        <f t="shared" ca="1" si="0"/>
        <v>130009</v>
      </c>
    </row>
    <row r="6" spans="1:14" x14ac:dyDescent="0.25">
      <c r="A6" s="1" t="s">
        <v>13</v>
      </c>
      <c r="B6" s="1">
        <f ca="1">Январь!E6</f>
        <v>8558</v>
      </c>
      <c r="C6" s="1">
        <f>Фераль!E6</f>
        <v>5574</v>
      </c>
      <c r="D6" s="1">
        <f ca="1">Март!E6</f>
        <v>8755</v>
      </c>
      <c r="E6" s="1">
        <f ca="1">Апрель!E6</f>
        <v>11239</v>
      </c>
      <c r="F6" s="1">
        <f ca="1">Март!E6</f>
        <v>8755</v>
      </c>
      <c r="G6" s="1">
        <f ca="1">Июнь!E6</f>
        <v>7554</v>
      </c>
      <c r="H6" s="1">
        <f ca="1">Июль!E6</f>
        <v>12176</v>
      </c>
      <c r="I6" s="1">
        <f ca="1">Август!E6</f>
        <v>8800</v>
      </c>
      <c r="J6" s="1">
        <f ca="1">Сентябрь!E6</f>
        <v>11338</v>
      </c>
      <c r="K6" s="1">
        <f ca="1">Октябрь!E6</f>
        <v>15680</v>
      </c>
      <c r="L6" s="1">
        <f ca="1">Ноябрь!E6</f>
        <v>13395</v>
      </c>
      <c r="M6" s="1">
        <f ca="1">Декабрь!E6</f>
        <v>11774</v>
      </c>
      <c r="N6" s="1">
        <f t="shared" ca="1" si="0"/>
        <v>123598</v>
      </c>
    </row>
    <row r="7" spans="1:14" x14ac:dyDescent="0.25">
      <c r="A7" s="1" t="s">
        <v>14</v>
      </c>
      <c r="B7" s="1">
        <f ca="1">Январь!E7</f>
        <v>7382</v>
      </c>
      <c r="C7" s="1">
        <f>Фераль!E7</f>
        <v>7903</v>
      </c>
      <c r="D7" s="1">
        <f ca="1">Март!E7</f>
        <v>11533</v>
      </c>
      <c r="E7" s="1">
        <f ca="1">Апрель!E7</f>
        <v>8135</v>
      </c>
      <c r="F7" s="1">
        <f ca="1">Март!E7</f>
        <v>11533</v>
      </c>
      <c r="G7" s="1">
        <f ca="1">Июнь!E7</f>
        <v>11758</v>
      </c>
      <c r="H7" s="1">
        <f ca="1">Июль!E7</f>
        <v>7653</v>
      </c>
      <c r="I7" s="1">
        <f ca="1">Август!E7</f>
        <v>10305</v>
      </c>
      <c r="J7" s="1">
        <f ca="1">Сентябрь!E7</f>
        <v>11600</v>
      </c>
      <c r="K7" s="1">
        <f ca="1">Октябрь!E7</f>
        <v>12508</v>
      </c>
      <c r="L7" s="1">
        <f ca="1">Ноябрь!E7</f>
        <v>11025</v>
      </c>
      <c r="M7" s="1">
        <f ca="1">Декабрь!E7</f>
        <v>13541</v>
      </c>
      <c r="N7" s="1">
        <f t="shared" ca="1" si="0"/>
        <v>124876</v>
      </c>
    </row>
    <row r="8" spans="1:14" x14ac:dyDescent="0.25">
      <c r="A8" s="1" t="s">
        <v>15</v>
      </c>
      <c r="B8" s="1">
        <f ca="1">Январь!E8</f>
        <v>5769</v>
      </c>
      <c r="C8" s="1">
        <f>Фераль!E8</f>
        <v>9490</v>
      </c>
      <c r="D8" s="1">
        <f ca="1">Март!E8</f>
        <v>12228</v>
      </c>
      <c r="E8" s="1">
        <f ca="1">Апрель!E8</f>
        <v>9569</v>
      </c>
      <c r="F8" s="1">
        <f ca="1">Март!E8</f>
        <v>12228</v>
      </c>
      <c r="G8" s="1">
        <f ca="1">Июнь!E8</f>
        <v>11639</v>
      </c>
      <c r="H8" s="1">
        <f ca="1">Июль!E8</f>
        <v>7932</v>
      </c>
      <c r="I8" s="1">
        <f ca="1">Август!E8</f>
        <v>12245</v>
      </c>
      <c r="J8" s="1">
        <f ca="1">Сентябрь!E8</f>
        <v>11910</v>
      </c>
      <c r="K8" s="1">
        <f ca="1">Октябрь!E8</f>
        <v>15774</v>
      </c>
      <c r="L8" s="1">
        <f ca="1">Ноябрь!E8</f>
        <v>15314</v>
      </c>
      <c r="M8" s="1">
        <f ca="1">Декабрь!E8</f>
        <v>11572</v>
      </c>
      <c r="N8" s="1">
        <f t="shared" ca="1" si="0"/>
        <v>135670</v>
      </c>
    </row>
    <row r="9" spans="1:14" x14ac:dyDescent="0.25">
      <c r="A9" s="1" t="s">
        <v>16</v>
      </c>
      <c r="B9" s="1">
        <f ca="1">Январь!E9</f>
        <v>8997</v>
      </c>
      <c r="C9" s="1">
        <f>Фераль!E9</f>
        <v>10476</v>
      </c>
      <c r="D9" s="1">
        <f ca="1">Март!E9</f>
        <v>7868</v>
      </c>
      <c r="E9" s="1">
        <f ca="1">Апрель!E9</f>
        <v>8608</v>
      </c>
      <c r="F9" s="1">
        <f ca="1">Март!E9</f>
        <v>7868</v>
      </c>
      <c r="G9" s="1">
        <f ca="1">Июнь!E9</f>
        <v>11179</v>
      </c>
      <c r="H9" s="1">
        <f ca="1">Июль!E9</f>
        <v>8927</v>
      </c>
      <c r="I9" s="1">
        <f ca="1">Август!E9</f>
        <v>11680</v>
      </c>
      <c r="J9" s="1">
        <f ca="1">Сентябрь!E9</f>
        <v>14246</v>
      </c>
      <c r="K9" s="1">
        <f ca="1">Октябрь!E9</f>
        <v>12214</v>
      </c>
      <c r="L9" s="1">
        <f ca="1">Ноябрь!E9</f>
        <v>12915</v>
      </c>
      <c r="M9" s="1">
        <f ca="1">Декабрь!E9</f>
        <v>13224</v>
      </c>
      <c r="N9" s="1">
        <f t="shared" ca="1" si="0"/>
        <v>128202</v>
      </c>
    </row>
    <row r="10" spans="1:14" x14ac:dyDescent="0.25">
      <c r="A10" s="1" t="s">
        <v>17</v>
      </c>
      <c r="B10" s="1">
        <f ca="1">Январь!E10</f>
        <v>8224</v>
      </c>
      <c r="C10" s="1">
        <f>Фераль!E10</f>
        <v>6896</v>
      </c>
      <c r="D10" s="1">
        <f ca="1">Март!E10</f>
        <v>10702</v>
      </c>
      <c r="E10" s="1">
        <f ca="1">Апрель!E10</f>
        <v>10108</v>
      </c>
      <c r="F10" s="1">
        <f ca="1">Март!E10</f>
        <v>10702</v>
      </c>
      <c r="G10" s="1">
        <f ca="1">Июнь!E10</f>
        <v>10189</v>
      </c>
      <c r="H10" s="1">
        <f ca="1">Июль!E10</f>
        <v>10246</v>
      </c>
      <c r="I10" s="1">
        <f ca="1">Август!E10</f>
        <v>9411</v>
      </c>
      <c r="J10" s="1">
        <f ca="1">Сентябрь!E10</f>
        <v>7443</v>
      </c>
      <c r="K10" s="1">
        <f ca="1">Октябрь!E10</f>
        <v>11229</v>
      </c>
      <c r="L10" s="1">
        <f ca="1">Ноябрь!E10</f>
        <v>12909</v>
      </c>
      <c r="M10" s="1">
        <f ca="1">Декабрь!E10</f>
        <v>10392</v>
      </c>
      <c r="N10" s="1">
        <f t="shared" ca="1" si="0"/>
        <v>118451</v>
      </c>
    </row>
    <row r="11" spans="1:14" x14ac:dyDescent="0.25">
      <c r="A11" s="1" t="s">
        <v>18</v>
      </c>
      <c r="B11" s="1">
        <f ca="1">Январь!E11</f>
        <v>9253</v>
      </c>
      <c r="C11" s="1">
        <f>Фераль!E11</f>
        <v>11685</v>
      </c>
      <c r="D11" s="1">
        <f ca="1">Март!E11</f>
        <v>10870</v>
      </c>
      <c r="E11" s="1">
        <f ca="1">Апрель!E11</f>
        <v>9767</v>
      </c>
      <c r="F11" s="1">
        <f ca="1">Март!E11</f>
        <v>10870</v>
      </c>
      <c r="G11" s="1">
        <f ca="1">Июнь!E11</f>
        <v>7757</v>
      </c>
      <c r="H11" s="1">
        <f ca="1">Июль!E11</f>
        <v>12307</v>
      </c>
      <c r="I11" s="1">
        <f ca="1">Август!E11</f>
        <v>9507</v>
      </c>
      <c r="J11" s="1">
        <f ca="1">Сентябрь!E11</f>
        <v>11245</v>
      </c>
      <c r="K11" s="1">
        <f ca="1">Октябрь!E11</f>
        <v>10841</v>
      </c>
      <c r="L11" s="1">
        <f ca="1">Ноябрь!E11</f>
        <v>13491</v>
      </c>
      <c r="M11" s="1">
        <f ca="1">Декабрь!E11</f>
        <v>13605</v>
      </c>
      <c r="N11" s="1">
        <f t="shared" ca="1" si="0"/>
        <v>131198</v>
      </c>
    </row>
    <row r="12" spans="1:14" x14ac:dyDescent="0.25">
      <c r="A12" s="1" t="s">
        <v>19</v>
      </c>
      <c r="B12" s="1">
        <f ca="1">Январь!E12</f>
        <v>6484</v>
      </c>
      <c r="C12" s="1">
        <f>Фераль!E12</f>
        <v>6323</v>
      </c>
      <c r="D12" s="1">
        <f ca="1">Март!E12</f>
        <v>9748</v>
      </c>
      <c r="E12" s="1">
        <f ca="1">Апрель!E12</f>
        <v>10192</v>
      </c>
      <c r="F12" s="1">
        <f ca="1">Март!E12</f>
        <v>9748</v>
      </c>
      <c r="G12" s="1">
        <f ca="1">Июнь!E12</f>
        <v>11465</v>
      </c>
      <c r="H12" s="1">
        <f ca="1">Июль!E12</f>
        <v>9670</v>
      </c>
      <c r="I12" s="1">
        <f ca="1">Август!E12</f>
        <v>9954</v>
      </c>
      <c r="J12" s="1">
        <f ca="1">Сентябрь!E12</f>
        <v>10367</v>
      </c>
      <c r="K12" s="1">
        <f ca="1">Октябрь!E12</f>
        <v>12992</v>
      </c>
      <c r="L12" s="1">
        <f ca="1">Ноябрь!E12</f>
        <v>13796</v>
      </c>
      <c r="M12" s="1">
        <f ca="1">Декабрь!E12</f>
        <v>12094</v>
      </c>
      <c r="N12" s="1">
        <f t="shared" ca="1" si="0"/>
        <v>122833</v>
      </c>
    </row>
    <row r="13" spans="1:14" x14ac:dyDescent="0.25">
      <c r="A13" s="1" t="s">
        <v>20</v>
      </c>
      <c r="B13" s="1">
        <f ca="1">Январь!E13</f>
        <v>6604</v>
      </c>
      <c r="C13" s="1">
        <f>Фераль!E13</f>
        <v>7323</v>
      </c>
      <c r="D13" s="1">
        <f ca="1">Март!E13</f>
        <v>11957</v>
      </c>
      <c r="E13" s="1">
        <f ca="1">Апрель!E13</f>
        <v>8302</v>
      </c>
      <c r="F13" s="1">
        <f ca="1">Март!E13</f>
        <v>11957</v>
      </c>
      <c r="G13" s="1">
        <f ca="1">Июнь!E13</f>
        <v>10033</v>
      </c>
      <c r="H13" s="1">
        <f ca="1">Июль!E13</f>
        <v>10662</v>
      </c>
      <c r="I13" s="1">
        <f ca="1">Август!E13</f>
        <v>9523</v>
      </c>
      <c r="J13" s="1">
        <f ca="1">Сентябрь!E13</f>
        <v>14729</v>
      </c>
      <c r="K13" s="1">
        <f ca="1">Октябрь!E13</f>
        <v>12938</v>
      </c>
      <c r="L13" s="1">
        <f ca="1">Ноябрь!E13</f>
        <v>10698</v>
      </c>
      <c r="M13" s="1">
        <f ca="1">Декабрь!E13</f>
        <v>13769</v>
      </c>
      <c r="N13" s="1">
        <f t="shared" ca="1" si="0"/>
        <v>128495</v>
      </c>
    </row>
    <row r="14" spans="1:14" x14ac:dyDescent="0.25">
      <c r="A14" s="1" t="s">
        <v>21</v>
      </c>
      <c r="B14" s="1">
        <f ca="1">Январь!E14</f>
        <v>6920</v>
      </c>
      <c r="C14" s="1">
        <f>Фераль!E14</f>
        <v>10364</v>
      </c>
      <c r="D14" s="1">
        <f ca="1">Март!E14</f>
        <v>10710</v>
      </c>
      <c r="E14" s="1">
        <f ca="1">Апрель!E14</f>
        <v>10750</v>
      </c>
      <c r="F14" s="1">
        <f ca="1">Март!E14</f>
        <v>10710</v>
      </c>
      <c r="G14" s="1">
        <f ca="1">Июнь!E14</f>
        <v>7743</v>
      </c>
      <c r="H14" s="1">
        <f ca="1">Июль!E14</f>
        <v>11689</v>
      </c>
      <c r="I14" s="1">
        <f ca="1">Август!E14</f>
        <v>13320</v>
      </c>
      <c r="J14" s="1">
        <f ca="1">Сентябрь!E14</f>
        <v>8075</v>
      </c>
      <c r="K14" s="1">
        <f ca="1">Октябрь!E14</f>
        <v>13418</v>
      </c>
      <c r="L14" s="1">
        <f ca="1">Ноябрь!E14</f>
        <v>12027</v>
      </c>
      <c r="M14" s="1">
        <f ca="1">Декабрь!E14</f>
        <v>11303</v>
      </c>
      <c r="N14" s="1">
        <f t="shared" ca="1" si="0"/>
        <v>127029</v>
      </c>
    </row>
    <row r="15" spans="1:14" x14ac:dyDescent="0.25">
      <c r="A15" s="1" t="s">
        <v>22</v>
      </c>
      <c r="B15" s="1">
        <f ca="1">Январь!E15</f>
        <v>8488</v>
      </c>
      <c r="C15" s="1">
        <f>Фераль!E15</f>
        <v>5726</v>
      </c>
      <c r="D15" s="1">
        <f ca="1">Март!E15</f>
        <v>7868</v>
      </c>
      <c r="E15" s="1">
        <f ca="1">Апрель!E15</f>
        <v>9387</v>
      </c>
      <c r="F15" s="1">
        <f ca="1">Март!E15</f>
        <v>7868</v>
      </c>
      <c r="G15" s="1">
        <f ca="1">Июнь!E15</f>
        <v>9243</v>
      </c>
      <c r="H15" s="1">
        <f ca="1">Июль!E15</f>
        <v>8800</v>
      </c>
      <c r="I15" s="1">
        <f ca="1">Август!E15</f>
        <v>9884</v>
      </c>
      <c r="J15" s="1">
        <f ca="1">Сентябрь!E15</f>
        <v>11862</v>
      </c>
      <c r="K15" s="1">
        <f ca="1">Октябрь!E15</f>
        <v>12172</v>
      </c>
      <c r="L15" s="1">
        <f ca="1">Ноябрь!E15</f>
        <v>13244</v>
      </c>
      <c r="M15" s="1">
        <f ca="1">Декабрь!E15</f>
        <v>10117</v>
      </c>
      <c r="N15" s="1">
        <f t="shared" ca="1" si="0"/>
        <v>114659</v>
      </c>
    </row>
    <row r="16" spans="1:14" x14ac:dyDescent="0.25">
      <c r="A16" s="1" t="s">
        <v>23</v>
      </c>
      <c r="B16" s="1">
        <f ca="1">Январь!E16</f>
        <v>8226</v>
      </c>
      <c r="C16" s="1">
        <f>Фераль!E16</f>
        <v>10284</v>
      </c>
      <c r="D16" s="1">
        <f ca="1">Март!E16</f>
        <v>8203</v>
      </c>
      <c r="E16" s="1">
        <f ca="1">Апрель!E16</f>
        <v>10696</v>
      </c>
      <c r="F16" s="1">
        <f ca="1">Март!E16</f>
        <v>8203</v>
      </c>
      <c r="G16" s="1">
        <f ca="1">Июнь!E16</f>
        <v>6429</v>
      </c>
      <c r="H16" s="1">
        <f ca="1">Июль!E16</f>
        <v>11481</v>
      </c>
      <c r="I16" s="1">
        <f ca="1">Август!E16</f>
        <v>11900</v>
      </c>
      <c r="J16" s="1">
        <f ca="1">Сентябрь!E16</f>
        <v>11800</v>
      </c>
      <c r="K16" s="1">
        <f ca="1">Октябрь!E16</f>
        <v>12405</v>
      </c>
      <c r="L16" s="1">
        <f ca="1">Ноябрь!E16</f>
        <v>12826</v>
      </c>
      <c r="M16" s="1">
        <f ca="1">Декабрь!E16</f>
        <v>14454</v>
      </c>
      <c r="N16" s="1">
        <f t="shared" ca="1" si="0"/>
        <v>126907</v>
      </c>
    </row>
    <row r="17" spans="1:14" x14ac:dyDescent="0.25">
      <c r="A17" s="1" t="s">
        <v>24</v>
      </c>
      <c r="B17" s="1">
        <f ca="1">Январь!E17</f>
        <v>8261</v>
      </c>
      <c r="C17" s="1">
        <f>Фераль!E17</f>
        <v>6820</v>
      </c>
      <c r="D17" s="1">
        <f ca="1">Март!E17</f>
        <v>8856</v>
      </c>
      <c r="E17" s="1">
        <f ca="1">Апрель!E17</f>
        <v>8304</v>
      </c>
      <c r="F17" s="1">
        <f ca="1">Март!E17</f>
        <v>8856</v>
      </c>
      <c r="G17" s="1">
        <f ca="1">Июнь!E17</f>
        <v>11227</v>
      </c>
      <c r="H17" s="1">
        <f ca="1">Июль!E17</f>
        <v>12196</v>
      </c>
      <c r="I17" s="1">
        <f ca="1">Август!E17</f>
        <v>10499</v>
      </c>
      <c r="J17" s="1">
        <f ca="1">Сентябрь!E17</f>
        <v>11078</v>
      </c>
      <c r="K17" s="1">
        <f ca="1">Октябрь!E17</f>
        <v>12137</v>
      </c>
      <c r="L17" s="1">
        <f ca="1">Ноябрь!E17</f>
        <v>8945</v>
      </c>
      <c r="M17" s="1">
        <f ca="1">Декабрь!E17</f>
        <v>15263</v>
      </c>
      <c r="N17" s="1">
        <f t="shared" ca="1" si="0"/>
        <v>122442</v>
      </c>
    </row>
    <row r="18" spans="1:14" x14ac:dyDescent="0.25">
      <c r="A18" s="1" t="s">
        <v>25</v>
      </c>
      <c r="B18" s="1">
        <f ca="1">Январь!E18</f>
        <v>8815</v>
      </c>
      <c r="C18" s="1">
        <f>Фераль!E18</f>
        <v>8224</v>
      </c>
      <c r="D18" s="1">
        <f ca="1">Март!E18</f>
        <v>11646</v>
      </c>
      <c r="E18" s="1">
        <f ca="1">Апрель!E18</f>
        <v>9190</v>
      </c>
      <c r="F18" s="1">
        <f ca="1">Март!E18</f>
        <v>11646</v>
      </c>
      <c r="G18" s="1">
        <f ca="1">Июнь!E18</f>
        <v>11084</v>
      </c>
      <c r="H18" s="1">
        <f ca="1">Июль!E18</f>
        <v>12460</v>
      </c>
      <c r="I18" s="1">
        <f ca="1">Август!E18</f>
        <v>8853</v>
      </c>
      <c r="J18" s="1">
        <f ca="1">Сентябрь!E18</f>
        <v>9147</v>
      </c>
      <c r="K18" s="1">
        <f ca="1">Октябрь!E18</f>
        <v>10680</v>
      </c>
      <c r="L18" s="1">
        <f ca="1">Ноябрь!E18</f>
        <v>15343</v>
      </c>
      <c r="M18" s="1">
        <f ca="1">Декабрь!E18</f>
        <v>9792</v>
      </c>
      <c r="N18" s="1">
        <f t="shared" ca="1" si="0"/>
        <v>126880</v>
      </c>
    </row>
    <row r="19" spans="1:14" x14ac:dyDescent="0.25">
      <c r="A19" s="1" t="s">
        <v>26</v>
      </c>
      <c r="B19" s="1">
        <f ca="1">Январь!E19</f>
        <v>10200</v>
      </c>
      <c r="C19" s="1">
        <f>Фераль!E19</f>
        <v>8505</v>
      </c>
      <c r="D19" s="1">
        <f ca="1">Март!E19</f>
        <v>10686</v>
      </c>
      <c r="E19" s="1">
        <f ca="1">Апрель!E19</f>
        <v>8993</v>
      </c>
      <c r="F19" s="1">
        <f ca="1">Март!E19</f>
        <v>10686</v>
      </c>
      <c r="G19" s="1">
        <f ca="1">Июнь!E19</f>
        <v>10410</v>
      </c>
      <c r="H19" s="1">
        <f ca="1">Июль!E19</f>
        <v>8907</v>
      </c>
      <c r="I19" s="1">
        <f ca="1">Август!E19</f>
        <v>6920</v>
      </c>
      <c r="J19" s="1">
        <f ca="1">Сентябрь!E19</f>
        <v>7462</v>
      </c>
      <c r="K19" s="1">
        <f ca="1">Октябрь!E19</f>
        <v>12731</v>
      </c>
      <c r="L19" s="1">
        <f ca="1">Ноябрь!E19</f>
        <v>13381</v>
      </c>
      <c r="M19" s="1">
        <f ca="1">Декабрь!E19</f>
        <v>9313</v>
      </c>
      <c r="N19" s="1">
        <f t="shared" ca="1" si="0"/>
        <v>118194</v>
      </c>
    </row>
    <row r="20" spans="1:14" x14ac:dyDescent="0.25">
      <c r="A20" s="1" t="s">
        <v>27</v>
      </c>
      <c r="B20" s="1">
        <f ca="1">Январь!E20</f>
        <v>10093</v>
      </c>
      <c r="C20" s="1">
        <f>Фераль!E20</f>
        <v>7160</v>
      </c>
      <c r="D20" s="1">
        <f ca="1">Март!E20</f>
        <v>9445</v>
      </c>
      <c r="E20" s="1">
        <f ca="1">Апрель!E20</f>
        <v>7542</v>
      </c>
      <c r="F20" s="1">
        <f ca="1">Март!E20</f>
        <v>9445</v>
      </c>
      <c r="G20" s="1">
        <f ca="1">Июнь!E20</f>
        <v>7594</v>
      </c>
      <c r="H20" s="1">
        <f ca="1">Июль!E20</f>
        <v>12457</v>
      </c>
      <c r="I20" s="1">
        <f ca="1">Август!E20</f>
        <v>10066</v>
      </c>
      <c r="J20" s="1">
        <f ca="1">Сентябрь!E20</f>
        <v>7198</v>
      </c>
      <c r="K20" s="1">
        <f ca="1">Октябрь!E20</f>
        <v>11233</v>
      </c>
      <c r="L20" s="1">
        <f ca="1">Ноябрь!E20</f>
        <v>15103</v>
      </c>
      <c r="M20" s="1">
        <f ca="1">Декабрь!E20</f>
        <v>8839</v>
      </c>
      <c r="N20" s="1">
        <f t="shared" ca="1" si="0"/>
        <v>116175</v>
      </c>
    </row>
    <row r="21" spans="1:14" x14ac:dyDescent="0.25">
      <c r="A21" s="1" t="s">
        <v>28</v>
      </c>
      <c r="B21" s="1">
        <f ca="1">Январь!E21</f>
        <v>5870</v>
      </c>
      <c r="C21" s="1">
        <f>Фераль!E21</f>
        <v>8871</v>
      </c>
      <c r="D21" s="1">
        <f ca="1">Март!E21</f>
        <v>10575</v>
      </c>
      <c r="E21" s="1">
        <f ca="1">Апрель!E21</f>
        <v>8979</v>
      </c>
      <c r="F21" s="1">
        <f ca="1">Март!E21</f>
        <v>10575</v>
      </c>
      <c r="G21" s="1">
        <f ca="1">Июнь!E21</f>
        <v>6882</v>
      </c>
      <c r="H21" s="1">
        <f ca="1">Июль!E21</f>
        <v>11028</v>
      </c>
      <c r="I21" s="1">
        <f ca="1">Август!E21</f>
        <v>11164</v>
      </c>
      <c r="J21" s="1">
        <f ca="1">Сентябрь!E21</f>
        <v>10805</v>
      </c>
      <c r="K21" s="1">
        <f ca="1">Октябрь!E21</f>
        <v>15765</v>
      </c>
      <c r="L21" s="1">
        <f ca="1">Ноябрь!E21</f>
        <v>8528</v>
      </c>
      <c r="M21" s="1">
        <f ca="1">Декабрь!E21</f>
        <v>14505</v>
      </c>
      <c r="N21" s="1">
        <f t="shared" ca="1" si="0"/>
        <v>123547</v>
      </c>
    </row>
    <row r="22" spans="1:14" x14ac:dyDescent="0.25">
      <c r="A22" s="1" t="s">
        <v>29</v>
      </c>
      <c r="B22" s="1">
        <f ca="1">Январь!E22</f>
        <v>8258</v>
      </c>
      <c r="C22" s="1">
        <f>Фераль!E22</f>
        <v>7065</v>
      </c>
      <c r="D22" s="1">
        <f ca="1">Март!E22</f>
        <v>9818</v>
      </c>
      <c r="E22" s="1">
        <f ca="1">Апрель!E22</f>
        <v>8626</v>
      </c>
      <c r="F22" s="1">
        <f ca="1">Март!E22</f>
        <v>9818</v>
      </c>
      <c r="G22" s="1">
        <f ca="1">Июнь!E22</f>
        <v>10716</v>
      </c>
      <c r="H22" s="1">
        <f ca="1">Июль!E22</f>
        <v>12934</v>
      </c>
      <c r="I22" s="1">
        <f ca="1">Август!E22</f>
        <v>8307</v>
      </c>
      <c r="J22" s="1">
        <f ca="1">Сентябрь!E22</f>
        <v>12520</v>
      </c>
      <c r="K22" s="1">
        <f ca="1">Октябрь!E22</f>
        <v>10526</v>
      </c>
      <c r="L22" s="1">
        <f ca="1">Ноябрь!E22</f>
        <v>13646</v>
      </c>
      <c r="M22" s="1">
        <f ca="1">Декабрь!E22</f>
        <v>10592</v>
      </c>
      <c r="N22" s="1">
        <f t="shared" ca="1" si="0"/>
        <v>122826</v>
      </c>
    </row>
    <row r="23" spans="1:14" x14ac:dyDescent="0.25">
      <c r="A23" s="1" t="s">
        <v>30</v>
      </c>
      <c r="B23" s="1">
        <f ca="1">Январь!E23</f>
        <v>8616</v>
      </c>
      <c r="C23" s="1">
        <f>Фераль!E23</f>
        <v>10640</v>
      </c>
      <c r="D23" s="1">
        <f ca="1">Март!E23</f>
        <v>8496</v>
      </c>
      <c r="E23" s="1">
        <f ca="1">Апрель!E23</f>
        <v>8056</v>
      </c>
      <c r="F23" s="1">
        <f ca="1">Март!E23</f>
        <v>8496</v>
      </c>
      <c r="G23" s="1">
        <f ca="1">Июнь!E23</f>
        <v>10094</v>
      </c>
      <c r="H23" s="1">
        <f ca="1">Июль!E23</f>
        <v>10722</v>
      </c>
      <c r="I23" s="1">
        <f ca="1">Август!E23</f>
        <v>13598</v>
      </c>
      <c r="J23" s="1">
        <f ca="1">Сентябрь!E23</f>
        <v>10443</v>
      </c>
      <c r="K23" s="1">
        <f ca="1">Октябрь!E23</f>
        <v>12658</v>
      </c>
      <c r="L23" s="1">
        <f ca="1">Ноябрь!E23</f>
        <v>14454</v>
      </c>
      <c r="M23" s="1">
        <f ca="1">Декабрь!E23</f>
        <v>13436</v>
      </c>
      <c r="N23" s="1">
        <f t="shared" ca="1" si="0"/>
        <v>129709</v>
      </c>
    </row>
    <row r="24" spans="1:14" x14ac:dyDescent="0.25">
      <c r="A24" s="1" t="s">
        <v>31</v>
      </c>
      <c r="B24" s="1">
        <f ca="1">Январь!E24</f>
        <v>8674</v>
      </c>
      <c r="C24" s="1">
        <f>Фераль!E24</f>
        <v>9200</v>
      </c>
      <c r="D24" s="1">
        <f ca="1">Март!E24</f>
        <v>10512</v>
      </c>
      <c r="E24" s="1">
        <f ca="1">Апрель!E24</f>
        <v>11216</v>
      </c>
      <c r="F24" s="1">
        <f ca="1">Март!E24</f>
        <v>10512</v>
      </c>
      <c r="G24" s="1">
        <f ca="1">Июнь!E24</f>
        <v>11652</v>
      </c>
      <c r="H24" s="1">
        <f ca="1">Июль!E24</f>
        <v>9260</v>
      </c>
      <c r="I24" s="1">
        <f ca="1">Август!E24</f>
        <v>12244</v>
      </c>
      <c r="J24" s="1">
        <f ca="1">Сентябрь!E24</f>
        <v>8877</v>
      </c>
      <c r="K24" s="1">
        <f ca="1">Октябрь!E24</f>
        <v>12547</v>
      </c>
      <c r="L24" s="1">
        <f ca="1">Ноябрь!E24</f>
        <v>13454</v>
      </c>
      <c r="M24" s="1">
        <f ca="1">Декабрь!E24</f>
        <v>11473</v>
      </c>
      <c r="N24" s="1">
        <f t="shared" ca="1" si="0"/>
        <v>129621</v>
      </c>
    </row>
    <row r="25" spans="1:14" x14ac:dyDescent="0.25">
      <c r="A25" s="1" t="s">
        <v>32</v>
      </c>
      <c r="B25" s="1">
        <f ca="1">Январь!E25</f>
        <v>7255</v>
      </c>
      <c r="C25" s="1">
        <f>Фераль!E25</f>
        <v>6333</v>
      </c>
      <c r="D25" s="1">
        <f ca="1">Март!E25</f>
        <v>8319</v>
      </c>
      <c r="E25" s="1">
        <f ca="1">Апрель!E25</f>
        <v>8633</v>
      </c>
      <c r="F25" s="1">
        <f ca="1">Март!E25</f>
        <v>8319</v>
      </c>
      <c r="G25" s="1">
        <f ca="1">Июнь!E25</f>
        <v>10237</v>
      </c>
      <c r="H25" s="1">
        <f ca="1">Июль!E25</f>
        <v>12233</v>
      </c>
      <c r="I25" s="1">
        <f ca="1">Август!E25</f>
        <v>9129</v>
      </c>
      <c r="J25" s="1">
        <f ca="1">Сентябрь!E25</f>
        <v>8289</v>
      </c>
      <c r="K25" s="1">
        <f ca="1">Октябрь!E25</f>
        <v>13807</v>
      </c>
      <c r="L25" s="1">
        <f ca="1">Ноябрь!E25</f>
        <v>9507</v>
      </c>
      <c r="M25" s="1">
        <f ca="1">Декабрь!E25</f>
        <v>13424</v>
      </c>
      <c r="N25" s="1">
        <f t="shared" ca="1" si="0"/>
        <v>115485</v>
      </c>
    </row>
    <row r="26" spans="1:14" x14ac:dyDescent="0.25">
      <c r="A26" s="1" t="s">
        <v>33</v>
      </c>
      <c r="B26" s="1">
        <f ca="1">Январь!E26</f>
        <v>9924</v>
      </c>
      <c r="C26" s="1">
        <f>Фераль!E26</f>
        <v>6814</v>
      </c>
      <c r="D26" s="1">
        <f ca="1">Март!E26</f>
        <v>9081</v>
      </c>
      <c r="E26" s="1">
        <f ca="1">Апрель!E26</f>
        <v>8755</v>
      </c>
      <c r="F26" s="1">
        <f ca="1">Март!E26</f>
        <v>9081</v>
      </c>
      <c r="G26" s="1">
        <f ca="1">Июнь!E26</f>
        <v>11266</v>
      </c>
      <c r="H26" s="1">
        <f ca="1">Июль!E26</f>
        <v>12663</v>
      </c>
      <c r="I26" s="1">
        <f ca="1">Август!E26</f>
        <v>9616</v>
      </c>
      <c r="J26" s="1">
        <f ca="1">Сентябрь!E26</f>
        <v>13444</v>
      </c>
      <c r="K26" s="1">
        <f ca="1">Октябрь!E26</f>
        <v>13968</v>
      </c>
      <c r="L26" s="1">
        <f ca="1">Ноябрь!E26</f>
        <v>15063</v>
      </c>
      <c r="M26" s="1">
        <f ca="1">Декабрь!E26</f>
        <v>14562</v>
      </c>
      <c r="N26" s="1">
        <f t="shared" ca="1" si="0"/>
        <v>134237</v>
      </c>
    </row>
    <row r="27" spans="1:14" x14ac:dyDescent="0.25">
      <c r="A27" s="1" t="s">
        <v>34</v>
      </c>
      <c r="B27" s="1">
        <f ca="1">Январь!E27</f>
        <v>5948</v>
      </c>
      <c r="C27" s="1">
        <f>Фераль!E27</f>
        <v>7186</v>
      </c>
      <c r="D27" s="1">
        <f ca="1">Март!E27</f>
        <v>9359</v>
      </c>
      <c r="E27" s="1">
        <f ca="1">Апрель!E27</f>
        <v>7520</v>
      </c>
      <c r="F27" s="1">
        <f ca="1">Март!E27</f>
        <v>9359</v>
      </c>
      <c r="G27" s="1">
        <f ca="1">Июнь!E27</f>
        <v>10837</v>
      </c>
      <c r="H27" s="1">
        <f ca="1">Июль!E27</f>
        <v>9098</v>
      </c>
      <c r="I27" s="1">
        <f ca="1">Август!E27</f>
        <v>8882</v>
      </c>
      <c r="J27" s="1">
        <f ca="1">Сентябрь!E27</f>
        <v>8465</v>
      </c>
      <c r="K27" s="1">
        <f ca="1">Октябрь!E27</f>
        <v>12074</v>
      </c>
      <c r="L27" s="1">
        <f ca="1">Ноябрь!E27</f>
        <v>9376</v>
      </c>
      <c r="M27" s="1">
        <f ca="1">Декабрь!E27</f>
        <v>13329</v>
      </c>
      <c r="N27" s="1">
        <f t="shared" ca="1" si="0"/>
        <v>111433</v>
      </c>
    </row>
    <row r="28" spans="1:14" x14ac:dyDescent="0.25">
      <c r="A28" s="1" t="s">
        <v>35</v>
      </c>
      <c r="B28" s="1">
        <f ca="1">Январь!E28</f>
        <v>10810</v>
      </c>
      <c r="C28" s="1">
        <f>Фераль!E28</f>
        <v>8727</v>
      </c>
      <c r="D28" s="1">
        <f ca="1">Март!E28</f>
        <v>11559</v>
      </c>
      <c r="E28" s="1">
        <f ca="1">Апрель!E28</f>
        <v>9472</v>
      </c>
      <c r="F28" s="1">
        <f ca="1">Март!E28</f>
        <v>11559</v>
      </c>
      <c r="G28" s="1">
        <f ca="1">Июнь!E28</f>
        <v>6782</v>
      </c>
      <c r="H28" s="1">
        <f ca="1">Июль!E28</f>
        <v>12339</v>
      </c>
      <c r="I28" s="1">
        <f ca="1">Август!E28</f>
        <v>9717</v>
      </c>
      <c r="J28" s="1">
        <f ca="1">Сентябрь!E28</f>
        <v>8821</v>
      </c>
      <c r="K28" s="1">
        <f ca="1">Октябрь!E28</f>
        <v>11032</v>
      </c>
      <c r="L28" s="1">
        <f ca="1">Ноябрь!E28</f>
        <v>11753</v>
      </c>
      <c r="M28" s="1">
        <f ca="1">Декабрь!E28</f>
        <v>15680</v>
      </c>
      <c r="N28" s="1">
        <f t="shared" ca="1" si="0"/>
        <v>128251</v>
      </c>
    </row>
    <row r="29" spans="1:14" x14ac:dyDescent="0.25">
      <c r="A29" s="1" t="s">
        <v>36</v>
      </c>
      <c r="B29" s="1">
        <f ca="1">Январь!E29</f>
        <v>6914</v>
      </c>
      <c r="C29" s="1">
        <f>Фераль!E29</f>
        <v>6784</v>
      </c>
      <c r="D29" s="1">
        <f ca="1">Март!E29</f>
        <v>12047</v>
      </c>
      <c r="E29" s="1">
        <f ca="1">Апрель!E29</f>
        <v>7531</v>
      </c>
      <c r="F29" s="1">
        <f ca="1">Март!E29</f>
        <v>12047</v>
      </c>
      <c r="G29" s="1">
        <f ca="1">Июнь!E29</f>
        <v>11054</v>
      </c>
      <c r="H29" s="1">
        <f ca="1">Июль!E29</f>
        <v>8670</v>
      </c>
      <c r="I29" s="1">
        <f ca="1">Август!E29</f>
        <v>8704</v>
      </c>
      <c r="J29" s="1">
        <f ca="1">Сентябрь!E29</f>
        <v>9026</v>
      </c>
      <c r="K29" s="1">
        <f ca="1">Октябрь!E29</f>
        <v>10159</v>
      </c>
      <c r="L29" s="1">
        <f ca="1">Ноябрь!E29</f>
        <v>14789</v>
      </c>
      <c r="M29" s="1">
        <f ca="1">Декабрь!E29</f>
        <v>11681</v>
      </c>
      <c r="N29" s="1">
        <f t="shared" ca="1" si="0"/>
        <v>119406</v>
      </c>
    </row>
    <row r="30" spans="1:14" x14ac:dyDescent="0.25">
      <c r="A30" s="1" t="s">
        <v>37</v>
      </c>
      <c r="B30" s="1">
        <f ca="1">Январь!E30</f>
        <v>6912</v>
      </c>
      <c r="C30" s="1">
        <f>Фераль!E30</f>
        <v>6502</v>
      </c>
      <c r="D30" s="1">
        <f ca="1">Март!E30</f>
        <v>11665</v>
      </c>
      <c r="E30" s="1">
        <f ca="1">Апрель!E30</f>
        <v>8451</v>
      </c>
      <c r="F30" s="1">
        <f ca="1">Март!E30</f>
        <v>11665</v>
      </c>
      <c r="G30" s="1">
        <f ca="1">Июнь!E30</f>
        <v>9523</v>
      </c>
      <c r="H30" s="1">
        <f ca="1">Июль!E30</f>
        <v>7307</v>
      </c>
      <c r="I30" s="1">
        <f ca="1">Август!E30</f>
        <v>12519</v>
      </c>
      <c r="J30" s="1">
        <f ca="1">Сентябрь!E30</f>
        <v>12228</v>
      </c>
      <c r="K30" s="1">
        <f ca="1">Октябрь!E30</f>
        <v>10797</v>
      </c>
      <c r="L30" s="1">
        <f ca="1">Ноябрь!E30</f>
        <v>12860</v>
      </c>
      <c r="M30" s="1">
        <f ca="1">Декабрь!E30</f>
        <v>12005</v>
      </c>
      <c r="N30" s="1">
        <f t="shared" ca="1" si="0"/>
        <v>122434</v>
      </c>
    </row>
    <row r="31" spans="1:14" x14ac:dyDescent="0.25">
      <c r="A31" s="1" t="s">
        <v>38</v>
      </c>
      <c r="B31" s="1">
        <f ca="1">Январь!E31</f>
        <v>8112</v>
      </c>
      <c r="C31" s="1">
        <f>Фераль!E31</f>
        <v>9460</v>
      </c>
      <c r="D31" s="1">
        <f ca="1">Март!E31</f>
        <v>11546</v>
      </c>
      <c r="E31" s="1">
        <f ca="1">Апрель!E31</f>
        <v>8444</v>
      </c>
      <c r="F31" s="1">
        <f ca="1">Март!E31</f>
        <v>11546</v>
      </c>
      <c r="G31" s="1">
        <f ca="1">Июнь!E31</f>
        <v>9359</v>
      </c>
      <c r="H31" s="1">
        <f ca="1">Июль!E31</f>
        <v>11007</v>
      </c>
      <c r="I31" s="1">
        <f ca="1">Август!E31</f>
        <v>7404</v>
      </c>
      <c r="J31" s="1">
        <f ca="1">Сентябрь!E31</f>
        <v>11885</v>
      </c>
      <c r="K31" s="1">
        <f ca="1">Октябрь!E31</f>
        <v>10275</v>
      </c>
      <c r="L31" s="1">
        <f ca="1">Ноябрь!E31</f>
        <v>13734</v>
      </c>
      <c r="M31" s="1">
        <f ca="1">Декабрь!E31</f>
        <v>10647</v>
      </c>
      <c r="N31" s="1">
        <f t="shared" ca="1" si="0"/>
        <v>123419</v>
      </c>
    </row>
    <row r="32" spans="1:14" x14ac:dyDescent="0.25"/>
    <row r="33" x14ac:dyDescent="0.25"/>
    <row r="34" x14ac:dyDescent="0.25"/>
    <row r="35" x14ac:dyDescent="0.25"/>
    <row r="36" x14ac:dyDescent="0.25"/>
    <row r="37" x14ac:dyDescent="0.25"/>
    <row r="38" x14ac:dyDescent="0.25"/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1B989212-1889-4E12-80B1-1FE5564E0EC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Итоги!B5:B5</xm:f>
              <xm:sqref>B5</xm:sqref>
            </x14:sparkline>
            <x14:sparkline>
              <xm:f>Итоги!C5:C5</xm:f>
              <xm:sqref>C5</xm:sqref>
            </x14:sparkline>
            <x14:sparkline>
              <xm:f>Итоги!D5:D5</xm:f>
              <xm:sqref>D5</xm:sqref>
            </x14:sparkline>
            <x14:sparkline>
              <xm:f>Итоги!E5:E5</xm:f>
              <xm:sqref>E5</xm:sqref>
            </x14:sparkline>
            <x14:sparkline>
              <xm:f>Итоги!F5:F5</xm:f>
              <xm:sqref>F5</xm:sqref>
            </x14:sparkline>
            <x14:sparkline>
              <xm:f>Итоги!G5:G5</xm:f>
              <xm:sqref>G5</xm:sqref>
            </x14:sparkline>
            <x14:sparkline>
              <xm:f>Итоги!H5:H5</xm:f>
              <xm:sqref>H5</xm:sqref>
            </x14:sparkline>
            <x14:sparkline>
              <xm:f>Итоги!I5:I5</xm:f>
              <xm:sqref>I5</xm:sqref>
            </x14:sparkline>
            <x14:sparkline>
              <xm:f>Итоги!J5:J5</xm:f>
              <xm:sqref>J5</xm:sqref>
            </x14:sparkline>
            <x14:sparkline>
              <xm:f>Итоги!K5:K5</xm:f>
              <xm:sqref>K5</xm:sqref>
            </x14:sparkline>
            <x14:sparkline>
              <xm:f>Итоги!L5:L5</xm:f>
              <xm:sqref>L5</xm:sqref>
            </x14:sparkline>
            <x14:sparkline>
              <xm:f>Итоги!M5:M5</xm:f>
              <xm:sqref>M5</xm:sqref>
            </x14:sparkline>
          </x14:sparklines>
        </x14:sparklineGroup>
        <x14:sparklineGroup type="column" displayEmptyCellsAs="gap" xr2:uid="{995AC312-18B7-4FE4-B95A-759C2887566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Итоги!B10:B10</xm:f>
              <xm:sqref>B10</xm:sqref>
            </x14:sparkline>
            <x14:sparkline>
              <xm:f>Итоги!C10:C10</xm:f>
              <xm:sqref>C10</xm:sqref>
            </x14:sparkline>
            <x14:sparkline>
              <xm:f>Итоги!D10:D10</xm:f>
              <xm:sqref>D10</xm:sqref>
            </x14:sparkline>
            <x14:sparkline>
              <xm:f>Итоги!E10:E10</xm:f>
              <xm:sqref>E10</xm:sqref>
            </x14:sparkline>
            <x14:sparkline>
              <xm:f>Итоги!F10:F10</xm:f>
              <xm:sqref>F10</xm:sqref>
            </x14:sparkline>
            <x14:sparkline>
              <xm:f>Итоги!G10:G10</xm:f>
              <xm:sqref>G10</xm:sqref>
            </x14:sparkline>
            <x14:sparkline>
              <xm:f>Итоги!H10:H10</xm:f>
              <xm:sqref>H10</xm:sqref>
            </x14:sparkline>
            <x14:sparkline>
              <xm:f>Итоги!I10:I10</xm:f>
              <xm:sqref>I10</xm:sqref>
            </x14:sparkline>
            <x14:sparkline>
              <xm:f>Итоги!J10:J10</xm:f>
              <xm:sqref>J10</xm:sqref>
            </x14:sparkline>
            <x14:sparkline>
              <xm:f>Итоги!K10:K10</xm:f>
              <xm:sqref>K10</xm:sqref>
            </x14:sparkline>
            <x14:sparkline>
              <xm:f>Итоги!L10:L10</xm:f>
              <xm:sqref>L10</xm:sqref>
            </x14:sparkline>
            <x14:sparkline>
              <xm:f>Итоги!M10:M10</xm:f>
              <xm:sqref>M10</xm:sqref>
            </x14:sparkline>
          </x14:sparklines>
        </x14:sparklineGroup>
        <x14:sparklineGroup type="column" displayEmptyCellsAs="gap" xr2:uid="{EBD385F1-DF88-4F2C-9F6E-D7DC8BA3D6E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Итоги!B15:B15</xm:f>
              <xm:sqref>B15</xm:sqref>
            </x14:sparkline>
            <x14:sparkline>
              <xm:f>Итоги!C15:C15</xm:f>
              <xm:sqref>C15</xm:sqref>
            </x14:sparkline>
            <x14:sparkline>
              <xm:f>Итоги!D15:D15</xm:f>
              <xm:sqref>D15</xm:sqref>
            </x14:sparkline>
            <x14:sparkline>
              <xm:f>Итоги!E15:E15</xm:f>
              <xm:sqref>E15</xm:sqref>
            </x14:sparkline>
            <x14:sparkline>
              <xm:f>Итоги!F15:F15</xm:f>
              <xm:sqref>F15</xm:sqref>
            </x14:sparkline>
            <x14:sparkline>
              <xm:f>Итоги!G15:G15</xm:f>
              <xm:sqref>G15</xm:sqref>
            </x14:sparkline>
            <x14:sparkline>
              <xm:f>Итоги!H15:H15</xm:f>
              <xm:sqref>H15</xm:sqref>
            </x14:sparkline>
            <x14:sparkline>
              <xm:f>Итоги!I15:I15</xm:f>
              <xm:sqref>I15</xm:sqref>
            </x14:sparkline>
            <x14:sparkline>
              <xm:f>Итоги!J15:J15</xm:f>
              <xm:sqref>J15</xm:sqref>
            </x14:sparkline>
            <x14:sparkline>
              <xm:f>Итоги!K15:K15</xm:f>
              <xm:sqref>K15</xm:sqref>
            </x14:sparkline>
            <x14:sparkline>
              <xm:f>Итоги!L15:L15</xm:f>
              <xm:sqref>L15</xm:sqref>
            </x14:sparkline>
            <x14:sparkline>
              <xm:f>Итоги!M15:M15</xm:f>
              <xm:sqref>M15</xm:sqref>
            </x14:sparkline>
          </x14:sparklines>
        </x14:sparklineGroup>
        <x14:sparklineGroup type="column" displayEmptyCellsAs="gap" xr2:uid="{69FF2496-B81C-49A5-AC8F-E389F7A288E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Итоги!B20:B20</xm:f>
              <xm:sqref>B20</xm:sqref>
            </x14:sparkline>
            <x14:sparkline>
              <xm:f>Итоги!C20:C20</xm:f>
              <xm:sqref>C20</xm:sqref>
            </x14:sparkline>
            <x14:sparkline>
              <xm:f>Итоги!D20:D20</xm:f>
              <xm:sqref>D20</xm:sqref>
            </x14:sparkline>
            <x14:sparkline>
              <xm:f>Итоги!E20:E20</xm:f>
              <xm:sqref>E20</xm:sqref>
            </x14:sparkline>
            <x14:sparkline>
              <xm:f>Итоги!F20:F20</xm:f>
              <xm:sqref>F20</xm:sqref>
            </x14:sparkline>
            <x14:sparkline>
              <xm:f>Итоги!G20:G20</xm:f>
              <xm:sqref>G20</xm:sqref>
            </x14:sparkline>
            <x14:sparkline>
              <xm:f>Итоги!H20:H20</xm:f>
              <xm:sqref>H20</xm:sqref>
            </x14:sparkline>
            <x14:sparkline>
              <xm:f>Итоги!I20:I20</xm:f>
              <xm:sqref>I20</xm:sqref>
            </x14:sparkline>
            <x14:sparkline>
              <xm:f>Итоги!J20:J20</xm:f>
              <xm:sqref>J20</xm:sqref>
            </x14:sparkline>
            <x14:sparkline>
              <xm:f>Итоги!K20:K20</xm:f>
              <xm:sqref>K20</xm:sqref>
            </x14:sparkline>
            <x14:sparkline>
              <xm:f>Итоги!L20:L20</xm:f>
              <xm:sqref>L20</xm:sqref>
            </x14:sparkline>
            <x14:sparkline>
              <xm:f>Итоги!M20:M20</xm:f>
              <xm:sqref>M20</xm:sqref>
            </x14:sparkline>
          </x14:sparklines>
        </x14:sparklineGroup>
        <x14:sparklineGroup type="column" displayEmptyCellsAs="gap" xr2:uid="{4F6525E9-8BE6-4FF3-AE4B-62CE621B59F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Итоги!B25:B25</xm:f>
              <xm:sqref>B25</xm:sqref>
            </x14:sparkline>
            <x14:sparkline>
              <xm:f>Итоги!C25:C25</xm:f>
              <xm:sqref>C25</xm:sqref>
            </x14:sparkline>
            <x14:sparkline>
              <xm:f>Итоги!D25:D25</xm:f>
              <xm:sqref>D25</xm:sqref>
            </x14:sparkline>
            <x14:sparkline>
              <xm:f>Итоги!E25:E25</xm:f>
              <xm:sqref>E25</xm:sqref>
            </x14:sparkline>
            <x14:sparkline>
              <xm:f>Итоги!F25:F25</xm:f>
              <xm:sqref>F25</xm:sqref>
            </x14:sparkline>
            <x14:sparkline>
              <xm:f>Итоги!G25:G25</xm:f>
              <xm:sqref>G25</xm:sqref>
            </x14:sparkline>
            <x14:sparkline>
              <xm:f>Итоги!H25:H25</xm:f>
              <xm:sqref>H25</xm:sqref>
            </x14:sparkline>
            <x14:sparkline>
              <xm:f>Итоги!I25:I25</xm:f>
              <xm:sqref>I25</xm:sqref>
            </x14:sparkline>
            <x14:sparkline>
              <xm:f>Итоги!J25:J25</xm:f>
              <xm:sqref>J25</xm:sqref>
            </x14:sparkline>
            <x14:sparkline>
              <xm:f>Итоги!K25:K25</xm:f>
              <xm:sqref>K25</xm:sqref>
            </x14:sparkline>
            <x14:sparkline>
              <xm:f>Итоги!L25:L25</xm:f>
              <xm:sqref>L25</xm:sqref>
            </x14:sparkline>
            <x14:sparkline>
              <xm:f>Итоги!M25:M25</xm:f>
              <xm:sqref>M25</xm:sqref>
            </x14:sparkline>
          </x14:sparklines>
        </x14:sparklineGroup>
        <x14:sparklineGroup type="column" displayEmptyCellsAs="gap" xr2:uid="{FBD3CD23-3C10-4606-8A90-651AB4CC06C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Итоги!B31:B31</xm:f>
              <xm:sqref>B31</xm:sqref>
            </x14:sparkline>
            <x14:sparkline>
              <xm:f>Итоги!C31:C31</xm:f>
              <xm:sqref>C31</xm:sqref>
            </x14:sparkline>
            <x14:sparkline>
              <xm:f>Итоги!D31:D31</xm:f>
              <xm:sqref>D31</xm:sqref>
            </x14:sparkline>
            <x14:sparkline>
              <xm:f>Итоги!E31:E31</xm:f>
              <xm:sqref>E31</xm:sqref>
            </x14:sparkline>
            <x14:sparkline>
              <xm:f>Итоги!F31:F31</xm:f>
              <xm:sqref>F31</xm:sqref>
            </x14:sparkline>
            <x14:sparkline>
              <xm:f>Итоги!G31:G31</xm:f>
              <xm:sqref>G31</xm:sqref>
            </x14:sparkline>
            <x14:sparkline>
              <xm:f>Итоги!H31:H31</xm:f>
              <xm:sqref>H31</xm:sqref>
            </x14:sparkline>
            <x14:sparkline>
              <xm:f>Итоги!I31:I31</xm:f>
              <xm:sqref>I31</xm:sqref>
            </x14:sparkline>
            <x14:sparkline>
              <xm:f>Итоги!J31:J31</xm:f>
              <xm:sqref>J31</xm:sqref>
            </x14:sparkline>
            <x14:sparkline>
              <xm:f>Итоги!K31:K31</xm:f>
              <xm:sqref>K31</xm:sqref>
            </x14:sparkline>
            <x14:sparkline>
              <xm:f>Итоги!L31:L31</xm:f>
              <xm:sqref>L31</xm:sqref>
            </x14:sparkline>
            <x14:sparkline>
              <xm:f>Итоги!M31:M31</xm:f>
              <xm:sqref>M31</xm:sqref>
            </x14:sparkline>
          </x14:sparklines>
        </x14:sparklineGroup>
      </x14:sparklineGroup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D2AA5-9ABD-403C-8966-14FD9188244C}">
  <dimension ref="A1:C32"/>
  <sheetViews>
    <sheetView tabSelected="1" workbookViewId="0">
      <selection activeCell="D35" sqref="D35"/>
    </sheetView>
  </sheetViews>
  <sheetFormatPr defaultRowHeight="13.8" x14ac:dyDescent="0.25"/>
  <cols>
    <col min="1" max="1" width="31.59765625" customWidth="1"/>
    <col min="2" max="2" width="15.296875" customWidth="1"/>
    <col min="3" max="3" width="14.8984375" customWidth="1"/>
  </cols>
  <sheetData>
    <row r="1" spans="1:3" x14ac:dyDescent="0.25">
      <c r="A1" s="4" t="s">
        <v>0</v>
      </c>
      <c r="B1" s="4" t="s">
        <v>53</v>
      </c>
      <c r="C1" s="4" t="s">
        <v>54</v>
      </c>
    </row>
    <row r="2" spans="1:3" x14ac:dyDescent="0.25">
      <c r="A2" s="1" t="s">
        <v>33</v>
      </c>
      <c r="B2" s="1">
        <v>139725</v>
      </c>
      <c r="C2" s="1">
        <f>B2*0.13</f>
        <v>18164.25</v>
      </c>
    </row>
    <row r="3" spans="1:3" x14ac:dyDescent="0.25">
      <c r="A3" s="1" t="s">
        <v>28</v>
      </c>
      <c r="B3" s="1">
        <v>136932</v>
      </c>
      <c r="C3" s="1">
        <f t="shared" ref="C3:C31" si="0">B3*0.13</f>
        <v>17801.16</v>
      </c>
    </row>
    <row r="4" spans="1:3" x14ac:dyDescent="0.25">
      <c r="A4" s="1" t="s">
        <v>35</v>
      </c>
      <c r="B4" s="1">
        <v>131289</v>
      </c>
      <c r="C4" s="1">
        <f t="shared" si="0"/>
        <v>17067.57</v>
      </c>
    </row>
    <row r="5" spans="1:3" x14ac:dyDescent="0.25">
      <c r="A5" s="1" t="s">
        <v>11</v>
      </c>
      <c r="B5" s="1">
        <v>130512</v>
      </c>
      <c r="C5" s="1">
        <f t="shared" si="0"/>
        <v>16966.560000000001</v>
      </c>
    </row>
    <row r="6" spans="1:3" x14ac:dyDescent="0.25">
      <c r="A6" s="1" t="s">
        <v>21</v>
      </c>
      <c r="B6" s="1">
        <v>128719</v>
      </c>
      <c r="C6" s="1">
        <f t="shared" si="0"/>
        <v>16733.47</v>
      </c>
    </row>
    <row r="7" spans="1:3" x14ac:dyDescent="0.25">
      <c r="A7" s="1" t="s">
        <v>13</v>
      </c>
      <c r="B7" s="1">
        <v>128560</v>
      </c>
      <c r="C7" s="1">
        <f t="shared" si="0"/>
        <v>16712.8</v>
      </c>
    </row>
    <row r="8" spans="1:3" x14ac:dyDescent="0.25">
      <c r="A8" s="1" t="s">
        <v>31</v>
      </c>
      <c r="B8" s="1">
        <v>128161</v>
      </c>
      <c r="C8" s="1">
        <f t="shared" si="0"/>
        <v>16660.93</v>
      </c>
    </row>
    <row r="9" spans="1:3" x14ac:dyDescent="0.25">
      <c r="A9" s="1" t="s">
        <v>18</v>
      </c>
      <c r="B9" s="1">
        <v>127074</v>
      </c>
      <c r="C9" s="1">
        <f t="shared" si="0"/>
        <v>16519.62</v>
      </c>
    </row>
    <row r="10" spans="1:3" x14ac:dyDescent="0.25">
      <c r="A10" s="1" t="s">
        <v>24</v>
      </c>
      <c r="B10" s="1">
        <v>126961</v>
      </c>
      <c r="C10" s="1">
        <f t="shared" si="0"/>
        <v>16504.93</v>
      </c>
    </row>
    <row r="11" spans="1:3" x14ac:dyDescent="0.25">
      <c r="A11" s="1" t="s">
        <v>10</v>
      </c>
      <c r="B11" s="1">
        <v>126081</v>
      </c>
      <c r="C11" s="1">
        <f t="shared" si="0"/>
        <v>16390.53</v>
      </c>
    </row>
    <row r="12" spans="1:3" x14ac:dyDescent="0.25">
      <c r="A12" s="1" t="s">
        <v>23</v>
      </c>
      <c r="B12" s="1">
        <v>124687</v>
      </c>
      <c r="C12" s="1">
        <f t="shared" si="0"/>
        <v>16209.310000000001</v>
      </c>
    </row>
    <row r="13" spans="1:3" x14ac:dyDescent="0.25">
      <c r="A13" s="1" t="s">
        <v>25</v>
      </c>
      <c r="B13" s="1">
        <v>123939</v>
      </c>
      <c r="C13" s="1">
        <f t="shared" si="0"/>
        <v>16112.07</v>
      </c>
    </row>
    <row r="14" spans="1:3" x14ac:dyDescent="0.25">
      <c r="A14" s="1" t="s">
        <v>22</v>
      </c>
      <c r="B14" s="1">
        <v>123936</v>
      </c>
      <c r="C14" s="1">
        <f t="shared" si="0"/>
        <v>16111.68</v>
      </c>
    </row>
    <row r="15" spans="1:3" x14ac:dyDescent="0.25">
      <c r="A15" s="1" t="s">
        <v>16</v>
      </c>
      <c r="B15" s="1">
        <v>123018</v>
      </c>
      <c r="C15" s="1">
        <f t="shared" si="0"/>
        <v>15992.34</v>
      </c>
    </row>
    <row r="16" spans="1:3" x14ac:dyDescent="0.25">
      <c r="A16" s="1" t="s">
        <v>19</v>
      </c>
      <c r="B16" s="1">
        <v>122179</v>
      </c>
      <c r="C16" s="1">
        <f t="shared" si="0"/>
        <v>15883.27</v>
      </c>
    </row>
    <row r="17" spans="1:3" x14ac:dyDescent="0.25">
      <c r="A17" s="1" t="s">
        <v>40</v>
      </c>
      <c r="B17" s="1">
        <v>121418</v>
      </c>
      <c r="C17" s="1">
        <f t="shared" si="0"/>
        <v>15784.34</v>
      </c>
    </row>
    <row r="18" spans="1:3" x14ac:dyDescent="0.25">
      <c r="A18" s="1" t="s">
        <v>30</v>
      </c>
      <c r="B18" s="1">
        <v>121376</v>
      </c>
      <c r="C18" s="1">
        <f t="shared" si="0"/>
        <v>15778.880000000001</v>
      </c>
    </row>
    <row r="19" spans="1:3" x14ac:dyDescent="0.25">
      <c r="A19" s="1" t="s">
        <v>17</v>
      </c>
      <c r="B19" s="1">
        <v>120839</v>
      </c>
      <c r="C19" s="1">
        <f t="shared" si="0"/>
        <v>15709.07</v>
      </c>
    </row>
    <row r="20" spans="1:3" x14ac:dyDescent="0.25">
      <c r="A20" s="1" t="s">
        <v>29</v>
      </c>
      <c r="B20" s="1">
        <v>120797</v>
      </c>
      <c r="C20" s="1">
        <f t="shared" si="0"/>
        <v>15703.61</v>
      </c>
    </row>
    <row r="21" spans="1:3" x14ac:dyDescent="0.25">
      <c r="A21" s="1" t="s">
        <v>38</v>
      </c>
      <c r="B21" s="1">
        <v>120407</v>
      </c>
      <c r="C21" s="1">
        <f t="shared" si="0"/>
        <v>15652.91</v>
      </c>
    </row>
    <row r="22" spans="1:3" x14ac:dyDescent="0.25">
      <c r="A22" s="1" t="s">
        <v>15</v>
      </c>
      <c r="B22" s="1">
        <v>120225</v>
      </c>
      <c r="C22" s="1">
        <f t="shared" si="0"/>
        <v>15629.25</v>
      </c>
    </row>
    <row r="23" spans="1:3" x14ac:dyDescent="0.25">
      <c r="A23" s="1" t="s">
        <v>34</v>
      </c>
      <c r="B23" s="1">
        <v>119800</v>
      </c>
      <c r="C23" s="1">
        <f t="shared" si="0"/>
        <v>15574</v>
      </c>
    </row>
    <row r="24" spans="1:3" x14ac:dyDescent="0.25">
      <c r="A24" s="1" t="s">
        <v>36</v>
      </c>
      <c r="B24" s="1">
        <v>119396</v>
      </c>
      <c r="C24" s="1">
        <f t="shared" si="0"/>
        <v>15521.480000000001</v>
      </c>
    </row>
    <row r="25" spans="1:3" x14ac:dyDescent="0.25">
      <c r="A25" s="1" t="s">
        <v>12</v>
      </c>
      <c r="B25" s="1">
        <v>119320</v>
      </c>
      <c r="C25" s="1">
        <f t="shared" si="0"/>
        <v>15511.6</v>
      </c>
    </row>
    <row r="26" spans="1:3" x14ac:dyDescent="0.25">
      <c r="A26" s="1" t="s">
        <v>20</v>
      </c>
      <c r="B26" s="1">
        <v>117094</v>
      </c>
      <c r="C26" s="1">
        <f t="shared" si="0"/>
        <v>15222.220000000001</v>
      </c>
    </row>
    <row r="27" spans="1:3" x14ac:dyDescent="0.25">
      <c r="A27" s="1" t="s">
        <v>32</v>
      </c>
      <c r="B27" s="1">
        <v>115867</v>
      </c>
      <c r="C27" s="1">
        <f t="shared" si="0"/>
        <v>15062.710000000001</v>
      </c>
    </row>
    <row r="28" spans="1:3" x14ac:dyDescent="0.25">
      <c r="A28" s="1" t="s">
        <v>14</v>
      </c>
      <c r="B28" s="1">
        <v>115409</v>
      </c>
      <c r="C28" s="1">
        <f t="shared" si="0"/>
        <v>15003.17</v>
      </c>
    </row>
    <row r="29" spans="1:3" x14ac:dyDescent="0.25">
      <c r="A29" s="1" t="s">
        <v>27</v>
      </c>
      <c r="B29" s="1">
        <v>114215</v>
      </c>
      <c r="C29" s="1">
        <f t="shared" si="0"/>
        <v>14847.95</v>
      </c>
    </row>
    <row r="30" spans="1:3" x14ac:dyDescent="0.25">
      <c r="A30" s="1" t="s">
        <v>26</v>
      </c>
      <c r="B30" s="1">
        <v>113842</v>
      </c>
      <c r="C30" s="1">
        <f t="shared" si="0"/>
        <v>14799.460000000001</v>
      </c>
    </row>
    <row r="31" spans="1:3" x14ac:dyDescent="0.25">
      <c r="A31" s="1" t="s">
        <v>37</v>
      </c>
      <c r="B31" s="1">
        <v>109736</v>
      </c>
      <c r="C31" s="1">
        <f t="shared" si="0"/>
        <v>14265.68</v>
      </c>
    </row>
    <row r="32" spans="1:3" x14ac:dyDescent="0.25">
      <c r="A32" s="4" t="s">
        <v>56</v>
      </c>
      <c r="B32" s="1">
        <f>SUM(B2:B31)</f>
        <v>3691514</v>
      </c>
      <c r="C32" s="1">
        <f>SUM(C2:C31)</f>
        <v>479896.82</v>
      </c>
    </row>
  </sheetData>
  <sortState xmlns:xlrd2="http://schemas.microsoft.com/office/spreadsheetml/2017/richdata2" ref="A2:B31">
    <sortCondition descending="1" ref="B2:B31"/>
  </sortState>
  <pageMargins left="0.7" right="0.7" top="0.75" bottom="0.75" header="0.3" footer="0.3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03398-819B-4014-8C37-F12A9DE7CD2A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Январь</vt:lpstr>
      <vt:lpstr>Фераль</vt:lpstr>
      <vt:lpstr>Март</vt:lpstr>
      <vt:lpstr>Апрель</vt:lpstr>
      <vt:lpstr>Май</vt:lpstr>
      <vt:lpstr>Июнь</vt:lpstr>
      <vt:lpstr>Июль</vt:lpstr>
      <vt:lpstr>Август</vt:lpstr>
      <vt:lpstr>Сентябрь</vt:lpstr>
      <vt:lpstr>Октябрь</vt:lpstr>
      <vt:lpstr>Ноябрь</vt:lpstr>
      <vt:lpstr>Декабрь</vt:lpstr>
      <vt:lpstr>Итоги</vt:lpstr>
      <vt:lpstr>Налоги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Курипко Артём Максимович</dc:creator>
  <cp:lastModifiedBy>koben</cp:lastModifiedBy>
  <dcterms:created xsi:type="dcterms:W3CDTF">2026-10-26T05:06:17Z</dcterms:created>
  <dcterms:modified xsi:type="dcterms:W3CDTF">2026-10-28T09:46:21Z</dcterms:modified>
</cp:coreProperties>
</file>